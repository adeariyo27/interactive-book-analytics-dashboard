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B353CFE-EF1C-4962-8097-9CF34E6F032D}" xr6:coauthVersionLast="47" xr6:coauthVersionMax="47" xr10:uidLastSave="{00000000-0000-0000-0000-000000000000}"/>
  <bookViews>
    <workbookView xWindow="14550" yWindow="0" windowWidth="14235" windowHeight="15300" xr2:uid="{77EB9760-62FC-4741-86F0-7666587E956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8" i="1" l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17" i="1"/>
  <c r="D48" i="2"/>
  <c r="C48" i="2"/>
  <c r="E48" i="2" s="1"/>
  <c r="F48" i="2" s="1"/>
  <c r="G48" i="2" s="1"/>
  <c r="B48" i="2"/>
  <c r="K33" i="2"/>
  <c r="K32" i="2"/>
  <c r="K31" i="2"/>
  <c r="E18" i="2"/>
  <c r="E19" i="2"/>
  <c r="E20" i="2"/>
  <c r="E21" i="2"/>
  <c r="E22" i="2"/>
  <c r="E23" i="2"/>
  <c r="E24" i="2"/>
  <c r="E25" i="2"/>
  <c r="E17" i="2"/>
  <c r="C26" i="2"/>
  <c r="D26" i="2"/>
  <c r="B26" i="2"/>
  <c r="H75" i="2"/>
  <c r="I75" i="2" s="1"/>
  <c r="J75" i="2" s="1"/>
  <c r="H74" i="2"/>
  <c r="I74" i="2" s="1"/>
  <c r="J74" i="2" s="1"/>
  <c r="H73" i="2"/>
  <c r="I73" i="2" s="1"/>
  <c r="J73" i="2" s="1"/>
  <c r="H72" i="2"/>
  <c r="I72" i="2" s="1"/>
  <c r="J72" i="2" s="1"/>
  <c r="P72" i="2" s="1"/>
  <c r="H71" i="2"/>
  <c r="I71" i="2" s="1"/>
  <c r="J71" i="2" s="1"/>
  <c r="H70" i="2"/>
  <c r="I70" i="2" s="1"/>
  <c r="J70" i="2" s="1"/>
  <c r="H69" i="2"/>
  <c r="I69" i="2" s="1"/>
  <c r="J69" i="2" s="1"/>
  <c r="H68" i="2"/>
  <c r="I68" i="2" s="1"/>
  <c r="J68" i="2" s="1"/>
  <c r="H67" i="2"/>
  <c r="I67" i="2" s="1"/>
  <c r="J67" i="2" s="1"/>
  <c r="H66" i="2"/>
  <c r="I66" i="2" s="1"/>
  <c r="J66" i="2" s="1"/>
  <c r="H65" i="2"/>
  <c r="I65" i="2" s="1"/>
  <c r="J65" i="2" s="1"/>
  <c r="H64" i="2"/>
  <c r="I64" i="2" s="1"/>
  <c r="J64" i="2" s="1"/>
  <c r="O64" i="2" s="1"/>
  <c r="H63" i="2"/>
  <c r="I63" i="2" s="1"/>
  <c r="J63" i="2" s="1"/>
  <c r="H62" i="2"/>
  <c r="I62" i="2" s="1"/>
  <c r="J62" i="2" s="1"/>
  <c r="H61" i="2"/>
  <c r="I61" i="2" s="1"/>
  <c r="J61" i="2" s="1"/>
  <c r="H60" i="2"/>
  <c r="I60" i="2" s="1"/>
  <c r="J60" i="2" s="1"/>
  <c r="H59" i="2"/>
  <c r="I59" i="2" s="1"/>
  <c r="J59" i="2" s="1"/>
  <c r="H58" i="2"/>
  <c r="I58" i="2" s="1"/>
  <c r="J58" i="2" s="1"/>
  <c r="H57" i="2"/>
  <c r="I57" i="2" s="1"/>
  <c r="J57" i="2" s="1"/>
  <c r="E49" i="2"/>
  <c r="F49" i="2" s="1"/>
  <c r="G49" i="2" s="1"/>
  <c r="E47" i="2"/>
  <c r="F47" i="2" s="1"/>
  <c r="G47" i="2" s="1"/>
  <c r="E46" i="2"/>
  <c r="F46" i="2" s="1"/>
  <c r="G46" i="2" s="1"/>
  <c r="E45" i="2"/>
  <c r="F45" i="2" s="1"/>
  <c r="G45" i="2" s="1"/>
  <c r="E44" i="2"/>
  <c r="F44" i="2" s="1"/>
  <c r="G44" i="2" s="1"/>
  <c r="E43" i="2"/>
  <c r="F43" i="2" s="1"/>
  <c r="G43" i="2" s="1"/>
  <c r="E42" i="2"/>
  <c r="F42" i="2" s="1"/>
  <c r="G42" i="2" s="1"/>
  <c r="E41" i="2"/>
  <c r="F41" i="2" s="1"/>
  <c r="G41" i="2" s="1"/>
  <c r="E40" i="2"/>
  <c r="F40" i="2" s="1"/>
  <c r="G40" i="2" s="1"/>
  <c r="E39" i="2"/>
  <c r="F39" i="2" s="1"/>
  <c r="G39" i="2" s="1"/>
  <c r="U41" i="1"/>
  <c r="U42" i="1"/>
  <c r="U43" i="1"/>
  <c r="U44" i="1"/>
  <c r="U45" i="1"/>
  <c r="U40" i="1"/>
  <c r="H95" i="1"/>
  <c r="I95" i="1" s="1"/>
  <c r="J95" i="1" s="1"/>
  <c r="I94" i="1"/>
  <c r="J94" i="1" s="1"/>
  <c r="P94" i="1" s="1"/>
  <c r="H94" i="1"/>
  <c r="I93" i="1"/>
  <c r="J93" i="1" s="1"/>
  <c r="H93" i="1"/>
  <c r="H92" i="1"/>
  <c r="I92" i="1" s="1"/>
  <c r="J92" i="1" s="1"/>
  <c r="H91" i="1"/>
  <c r="I91" i="1" s="1"/>
  <c r="J91" i="1" s="1"/>
  <c r="I90" i="1"/>
  <c r="J90" i="1" s="1"/>
  <c r="H90" i="1"/>
  <c r="H89" i="1"/>
  <c r="I89" i="1" s="1"/>
  <c r="J89" i="1" s="1"/>
  <c r="H88" i="1"/>
  <c r="I88" i="1" s="1"/>
  <c r="J88" i="1" s="1"/>
  <c r="I87" i="1"/>
  <c r="J87" i="1" s="1"/>
  <c r="H87" i="1"/>
  <c r="H86" i="1"/>
  <c r="I86" i="1" s="1"/>
  <c r="J86" i="1" s="1"/>
  <c r="P86" i="1" s="1"/>
  <c r="H85" i="1"/>
  <c r="I85" i="1" s="1"/>
  <c r="J85" i="1" s="1"/>
  <c r="I84" i="1"/>
  <c r="J84" i="1" s="1"/>
  <c r="H84" i="1"/>
  <c r="H83" i="1"/>
  <c r="I83" i="1" s="1"/>
  <c r="J83" i="1" s="1"/>
  <c r="H82" i="1"/>
  <c r="I82" i="1" s="1"/>
  <c r="J82" i="1" s="1"/>
  <c r="H81" i="1"/>
  <c r="I81" i="1" s="1"/>
  <c r="J81" i="1" s="1"/>
  <c r="H80" i="1"/>
  <c r="I80" i="1" s="1"/>
  <c r="J80" i="1" s="1"/>
  <c r="H79" i="1"/>
  <c r="I79" i="1" s="1"/>
  <c r="J79" i="1" s="1"/>
  <c r="I78" i="1"/>
  <c r="J78" i="1" s="1"/>
  <c r="P78" i="1" s="1"/>
  <c r="H78" i="1"/>
  <c r="I77" i="1"/>
  <c r="J77" i="1" s="1"/>
  <c r="H77" i="1"/>
  <c r="O59" i="1"/>
  <c r="O67" i="1"/>
  <c r="N59" i="1"/>
  <c r="M59" i="1"/>
  <c r="M67" i="1"/>
  <c r="K59" i="1"/>
  <c r="K67" i="1"/>
  <c r="J56" i="1"/>
  <c r="N56" i="1" s="1"/>
  <c r="J59" i="1"/>
  <c r="L59" i="1" s="1"/>
  <c r="J64" i="1"/>
  <c r="N64" i="1" s="1"/>
  <c r="J67" i="1"/>
  <c r="L67" i="1" s="1"/>
  <c r="I53" i="1"/>
  <c r="J53" i="1" s="1"/>
  <c r="I55" i="1"/>
  <c r="J55" i="1" s="1"/>
  <c r="I56" i="1"/>
  <c r="I57" i="1"/>
  <c r="J57" i="1" s="1"/>
  <c r="I59" i="1"/>
  <c r="I61" i="1"/>
  <c r="J61" i="1" s="1"/>
  <c r="I63" i="1"/>
  <c r="J63" i="1" s="1"/>
  <c r="I64" i="1"/>
  <c r="I65" i="1"/>
  <c r="J65" i="1" s="1"/>
  <c r="I67" i="1"/>
  <c r="I69" i="1"/>
  <c r="J69" i="1" s="1"/>
  <c r="H52" i="1"/>
  <c r="I52" i="1" s="1"/>
  <c r="J52" i="1" s="1"/>
  <c r="H53" i="1"/>
  <c r="H54" i="1"/>
  <c r="I54" i="1" s="1"/>
  <c r="J54" i="1" s="1"/>
  <c r="H55" i="1"/>
  <c r="H56" i="1"/>
  <c r="H57" i="1"/>
  <c r="H58" i="1"/>
  <c r="I58" i="1" s="1"/>
  <c r="J58" i="1" s="1"/>
  <c r="H59" i="1"/>
  <c r="H60" i="1"/>
  <c r="I60" i="1" s="1"/>
  <c r="J60" i="1" s="1"/>
  <c r="H61" i="1"/>
  <c r="H62" i="1"/>
  <c r="I62" i="1" s="1"/>
  <c r="J62" i="1" s="1"/>
  <c r="H63" i="1"/>
  <c r="H64" i="1"/>
  <c r="H65" i="1"/>
  <c r="H66" i="1"/>
  <c r="I66" i="1" s="1"/>
  <c r="J66" i="1" s="1"/>
  <c r="H67" i="1"/>
  <c r="H68" i="1"/>
  <c r="I68" i="1" s="1"/>
  <c r="J68" i="1" s="1"/>
  <c r="H69" i="1"/>
  <c r="H51" i="1"/>
  <c r="I51" i="1" s="1"/>
  <c r="J51" i="1" s="1"/>
  <c r="E26" i="2" l="1"/>
  <c r="I46" i="2"/>
  <c r="J46" i="2"/>
  <c r="L61" i="2"/>
  <c r="M61" i="2"/>
  <c r="L69" i="2"/>
  <c r="M69" i="2"/>
  <c r="J44" i="2"/>
  <c r="I44" i="2"/>
  <c r="H44" i="2"/>
  <c r="H48" i="2"/>
  <c r="J48" i="2"/>
  <c r="I48" i="2"/>
  <c r="P57" i="2"/>
  <c r="N57" i="2"/>
  <c r="O57" i="2"/>
  <c r="M57" i="2"/>
  <c r="L57" i="2"/>
  <c r="K57" i="2"/>
  <c r="O66" i="2"/>
  <c r="M66" i="2"/>
  <c r="N66" i="2"/>
  <c r="L66" i="2"/>
  <c r="K66" i="2"/>
  <c r="P66" i="2"/>
  <c r="K70" i="2"/>
  <c r="P70" i="2"/>
  <c r="O70" i="2"/>
  <c r="M70" i="2"/>
  <c r="L70" i="2"/>
  <c r="N70" i="2"/>
  <c r="N75" i="2"/>
  <c r="M75" i="2"/>
  <c r="L75" i="2"/>
  <c r="K75" i="2"/>
  <c r="P75" i="2"/>
  <c r="O75" i="2"/>
  <c r="J45" i="2"/>
  <c r="I45" i="2"/>
  <c r="H45" i="2"/>
  <c r="H49" i="2"/>
  <c r="J49" i="2"/>
  <c r="I49" i="2"/>
  <c r="O58" i="2"/>
  <c r="M58" i="2"/>
  <c r="N58" i="2"/>
  <c r="L58" i="2"/>
  <c r="K58" i="2"/>
  <c r="P58" i="2"/>
  <c r="K62" i="2"/>
  <c r="P62" i="2"/>
  <c r="O62" i="2"/>
  <c r="M62" i="2"/>
  <c r="N62" i="2"/>
  <c r="L62" i="2"/>
  <c r="N67" i="2"/>
  <c r="L67" i="2"/>
  <c r="M67" i="2"/>
  <c r="K67" i="2"/>
  <c r="P67" i="2"/>
  <c r="O67" i="2"/>
  <c r="P71" i="2"/>
  <c r="O71" i="2"/>
  <c r="N71" i="2"/>
  <c r="L71" i="2"/>
  <c r="K71" i="2"/>
  <c r="M71" i="2"/>
  <c r="H39" i="2"/>
  <c r="J39" i="2"/>
  <c r="I39" i="2"/>
  <c r="N59" i="2"/>
  <c r="L59" i="2"/>
  <c r="M59" i="2"/>
  <c r="K59" i="2"/>
  <c r="P59" i="2"/>
  <c r="O59" i="2"/>
  <c r="M68" i="2"/>
  <c r="K68" i="2"/>
  <c r="L68" i="2"/>
  <c r="N68" i="2"/>
  <c r="O68" i="2"/>
  <c r="P68" i="2"/>
  <c r="M60" i="2"/>
  <c r="L60" i="2"/>
  <c r="K60" i="2"/>
  <c r="O60" i="2"/>
  <c r="P60" i="2"/>
  <c r="N60" i="2"/>
  <c r="J41" i="2"/>
  <c r="I41" i="2"/>
  <c r="H41" i="2"/>
  <c r="H40" i="2"/>
  <c r="I40" i="2"/>
  <c r="J40" i="2"/>
  <c r="P63" i="2"/>
  <c r="O63" i="2"/>
  <c r="K63" i="2"/>
  <c r="N63" i="2"/>
  <c r="L63" i="2"/>
  <c r="M63" i="2"/>
  <c r="J42" i="2"/>
  <c r="I42" i="2"/>
  <c r="H42" i="2"/>
  <c r="P73" i="2"/>
  <c r="N73" i="2"/>
  <c r="O73" i="2"/>
  <c r="M73" i="2"/>
  <c r="L73" i="2"/>
  <c r="K73" i="2"/>
  <c r="J43" i="2"/>
  <c r="I43" i="2"/>
  <c r="H43" i="2"/>
  <c r="H47" i="2"/>
  <c r="I47" i="2"/>
  <c r="J47" i="2"/>
  <c r="P65" i="2"/>
  <c r="N65" i="2"/>
  <c r="O65" i="2"/>
  <c r="M65" i="2"/>
  <c r="L65" i="2"/>
  <c r="K65" i="2"/>
  <c r="O74" i="2"/>
  <c r="M74" i="2"/>
  <c r="N74" i="2"/>
  <c r="L74" i="2"/>
  <c r="P74" i="2"/>
  <c r="K74" i="2"/>
  <c r="O61" i="2"/>
  <c r="L64" i="2"/>
  <c r="O69" i="2"/>
  <c r="L72" i="2"/>
  <c r="K64" i="2"/>
  <c r="N69" i="2"/>
  <c r="K72" i="2"/>
  <c r="P61" i="2"/>
  <c r="M64" i="2"/>
  <c r="P69" i="2"/>
  <c r="M72" i="2"/>
  <c r="N61" i="2"/>
  <c r="N64" i="2"/>
  <c r="N72" i="2"/>
  <c r="O72" i="2"/>
  <c r="H46" i="2"/>
  <c r="K61" i="2"/>
  <c r="P64" i="2"/>
  <c r="K69" i="2"/>
  <c r="M60" i="1"/>
  <c r="O60" i="1"/>
  <c r="L60" i="1"/>
  <c r="N60" i="1"/>
  <c r="K60" i="1"/>
  <c r="P60" i="1"/>
  <c r="M52" i="1"/>
  <c r="O52" i="1"/>
  <c r="L52" i="1"/>
  <c r="N52" i="1"/>
  <c r="K52" i="1"/>
  <c r="P52" i="1"/>
  <c r="L57" i="1"/>
  <c r="N57" i="1"/>
  <c r="K57" i="1"/>
  <c r="P57" i="1"/>
  <c r="M57" i="1"/>
  <c r="O57" i="1"/>
  <c r="P77" i="1"/>
  <c r="N77" i="1"/>
  <c r="L77" i="1"/>
  <c r="K77" i="1"/>
  <c r="P69" i="1"/>
  <c r="M69" i="1"/>
  <c r="L69" i="1"/>
  <c r="O69" i="1"/>
  <c r="N69" i="1"/>
  <c r="K69" i="1"/>
  <c r="P84" i="1"/>
  <c r="O84" i="1"/>
  <c r="M84" i="1"/>
  <c r="L84" i="1"/>
  <c r="K84" i="1"/>
  <c r="O66" i="1"/>
  <c r="L66" i="1"/>
  <c r="N66" i="1"/>
  <c r="K66" i="1"/>
  <c r="P66" i="1"/>
  <c r="M66" i="1"/>
  <c r="O58" i="1"/>
  <c r="L58" i="1"/>
  <c r="P58" i="1"/>
  <c r="N58" i="1"/>
  <c r="K58" i="1"/>
  <c r="M58" i="1"/>
  <c r="N55" i="1"/>
  <c r="K55" i="1"/>
  <c r="P55" i="1"/>
  <c r="O55" i="1"/>
  <c r="M55" i="1"/>
  <c r="L55" i="1"/>
  <c r="P85" i="1"/>
  <c r="N85" i="1"/>
  <c r="L85" i="1"/>
  <c r="K85" i="1"/>
  <c r="P53" i="1"/>
  <c r="M53" i="1"/>
  <c r="O53" i="1"/>
  <c r="L53" i="1"/>
  <c r="N53" i="1"/>
  <c r="K53" i="1"/>
  <c r="P92" i="1"/>
  <c r="O92" i="1"/>
  <c r="M92" i="1"/>
  <c r="L92" i="1"/>
  <c r="K92" i="1"/>
  <c r="L65" i="1"/>
  <c r="N65" i="1"/>
  <c r="M65" i="1"/>
  <c r="K65" i="1"/>
  <c r="P65" i="1"/>
  <c r="O65" i="1"/>
  <c r="M68" i="1"/>
  <c r="O68" i="1"/>
  <c r="N68" i="1"/>
  <c r="L68" i="1"/>
  <c r="K68" i="1"/>
  <c r="P68" i="1"/>
  <c r="N63" i="1"/>
  <c r="K63" i="1"/>
  <c r="P63" i="1"/>
  <c r="O63" i="1"/>
  <c r="M63" i="1"/>
  <c r="L63" i="1"/>
  <c r="P93" i="1"/>
  <c r="N93" i="1"/>
  <c r="K93" i="1"/>
  <c r="L93" i="1"/>
  <c r="K51" i="1"/>
  <c r="P51" i="1"/>
  <c r="M51" i="1"/>
  <c r="L51" i="1"/>
  <c r="O51" i="1"/>
  <c r="N51" i="1"/>
  <c r="K62" i="1"/>
  <c r="P62" i="1"/>
  <c r="M62" i="1"/>
  <c r="L62" i="1"/>
  <c r="O62" i="1"/>
  <c r="N62" i="1"/>
  <c r="N54" i="1"/>
  <c r="K54" i="1"/>
  <c r="P54" i="1"/>
  <c r="M54" i="1"/>
  <c r="O54" i="1"/>
  <c r="L54" i="1"/>
  <c r="P61" i="1"/>
  <c r="M61" i="1"/>
  <c r="O61" i="1"/>
  <c r="L61" i="1"/>
  <c r="N61" i="1"/>
  <c r="K61" i="1"/>
  <c r="L64" i="1"/>
  <c r="L56" i="1"/>
  <c r="O64" i="1"/>
  <c r="O56" i="1"/>
  <c r="P67" i="1"/>
  <c r="P59" i="1"/>
  <c r="M64" i="1"/>
  <c r="M56" i="1"/>
  <c r="N67" i="1"/>
  <c r="P64" i="1"/>
  <c r="P56" i="1"/>
  <c r="K64" i="1"/>
  <c r="K56" i="1"/>
  <c r="P79" i="1"/>
  <c r="O79" i="1"/>
  <c r="L79" i="1"/>
  <c r="N79" i="1"/>
  <c r="M79" i="1"/>
  <c r="K79" i="1"/>
  <c r="O88" i="1"/>
  <c r="N88" i="1"/>
  <c r="M88" i="1"/>
  <c r="L88" i="1"/>
  <c r="K88" i="1"/>
  <c r="P88" i="1"/>
  <c r="P87" i="1"/>
  <c r="O87" i="1"/>
  <c r="N87" i="1"/>
  <c r="L87" i="1"/>
  <c r="M87" i="1"/>
  <c r="K87" i="1"/>
  <c r="O80" i="1"/>
  <c r="K80" i="1"/>
  <c r="N80" i="1"/>
  <c r="M80" i="1"/>
  <c r="L80" i="1"/>
  <c r="P80" i="1"/>
  <c r="N89" i="1"/>
  <c r="M89" i="1"/>
  <c r="O89" i="1"/>
  <c r="L89" i="1"/>
  <c r="K89" i="1"/>
  <c r="P89" i="1"/>
  <c r="M90" i="1"/>
  <c r="N90" i="1"/>
  <c r="L90" i="1"/>
  <c r="K90" i="1"/>
  <c r="P90" i="1"/>
  <c r="O90" i="1"/>
  <c r="M82" i="1"/>
  <c r="L82" i="1"/>
  <c r="N82" i="1"/>
  <c r="K82" i="1"/>
  <c r="P82" i="1"/>
  <c r="O82" i="1"/>
  <c r="L91" i="1"/>
  <c r="K91" i="1"/>
  <c r="P91" i="1"/>
  <c r="M91" i="1"/>
  <c r="O91" i="1"/>
  <c r="N91" i="1"/>
  <c r="N81" i="1"/>
  <c r="M81" i="1"/>
  <c r="L81" i="1"/>
  <c r="O81" i="1"/>
  <c r="K81" i="1"/>
  <c r="P81" i="1"/>
  <c r="L83" i="1"/>
  <c r="K83" i="1"/>
  <c r="P83" i="1"/>
  <c r="O83" i="1"/>
  <c r="N83" i="1"/>
  <c r="M83" i="1"/>
  <c r="P95" i="1"/>
  <c r="O95" i="1"/>
  <c r="N95" i="1"/>
  <c r="M95" i="1"/>
  <c r="L95" i="1"/>
  <c r="K95" i="1"/>
  <c r="K78" i="1"/>
  <c r="K86" i="1"/>
  <c r="K94" i="1"/>
  <c r="M77" i="1"/>
  <c r="L78" i="1"/>
  <c r="N84" i="1"/>
  <c r="M85" i="1"/>
  <c r="L86" i="1"/>
  <c r="N92" i="1"/>
  <c r="M93" i="1"/>
  <c r="L94" i="1"/>
  <c r="M78" i="1"/>
  <c r="O77" i="1"/>
  <c r="N78" i="1"/>
  <c r="O85" i="1"/>
  <c r="N86" i="1"/>
  <c r="O93" i="1"/>
  <c r="N94" i="1"/>
  <c r="M94" i="1"/>
  <c r="O78" i="1"/>
  <c r="O86" i="1"/>
  <c r="O94" i="1"/>
  <c r="M86" i="1"/>
</calcChain>
</file>

<file path=xl/sharedStrings.xml><?xml version="1.0" encoding="utf-8"?>
<sst xmlns="http://schemas.openxmlformats.org/spreadsheetml/2006/main" count="252" uniqueCount="57">
  <si>
    <t xml:space="preserve">Review hotel 5 pengunjung </t>
  </si>
  <si>
    <t>R1</t>
  </si>
  <si>
    <t>R2</t>
  </si>
  <si>
    <t>R3</t>
  </si>
  <si>
    <t>R4</t>
  </si>
  <si>
    <t>R5</t>
  </si>
  <si>
    <t>R6</t>
  </si>
  <si>
    <t>Hasil Preprocessing</t>
  </si>
  <si>
    <t>Dokumen</t>
  </si>
  <si>
    <t>['selain',  'nyaman', 'harga', 'murah']</t>
  </si>
  <si>
    <t>['hotel', 'nyaman', 'dan', 'bersih', 'aku', 'suka']</t>
  </si>
  <si>
    <t>['nyaman', 'budget', 'friendly']</t>
  </si>
  <si>
    <t>['sepertinya', 'hotel', 'biasa']</t>
  </si>
  <si>
    <t>['hotel', 'bagus', 'nyaman', 'dan', 'tidak', 'mahal']</t>
  </si>
  <si>
    <t>['aku', 'suka', 'hotel', 'menurutku', 'sangat', 'rekomendasi']</t>
  </si>
  <si>
    <t>LANGKAH 1</t>
  </si>
  <si>
    <t>LANGKAH 2 - TDM</t>
  </si>
  <si>
    <t>Terms</t>
  </si>
  <si>
    <t>hotel</t>
  </si>
  <si>
    <t>nyaman</t>
  </si>
  <si>
    <t xml:space="preserve">dan </t>
  </si>
  <si>
    <t>bersih</t>
  </si>
  <si>
    <t>aku</t>
  </si>
  <si>
    <t>suka</t>
  </si>
  <si>
    <t>selain</t>
  </si>
  <si>
    <t>harga</t>
  </si>
  <si>
    <t>murah</t>
  </si>
  <si>
    <t>budget</t>
  </si>
  <si>
    <t>friendly</t>
  </si>
  <si>
    <t>sepertinya</t>
  </si>
  <si>
    <t>biasa</t>
  </si>
  <si>
    <t>bagus</t>
  </si>
  <si>
    <t>tidak</t>
  </si>
  <si>
    <t>mahal</t>
  </si>
  <si>
    <t>menurutku</t>
  </si>
  <si>
    <t>sangat</t>
  </si>
  <si>
    <t>rekomendasi</t>
  </si>
  <si>
    <t>LANGKAH 2 BOW</t>
  </si>
  <si>
    <t xml:space="preserve">LANGKAH 3 TF IDF </t>
  </si>
  <si>
    <t>N = 1000</t>
  </si>
  <si>
    <t>N/df</t>
  </si>
  <si>
    <t>df</t>
  </si>
  <si>
    <t>idf</t>
  </si>
  <si>
    <t>BOBOT TF.IDF</t>
  </si>
  <si>
    <t>DF</t>
  </si>
  <si>
    <t>['smooth', 'responsive', 'fast', 'reliable']</t>
  </si>
  <si>
    <t>['fast',  'smooth', 'reliable', 'efficient']</t>
  </si>
  <si>
    <t>['laggy', 'slow', 'unresponsive', 'broken']</t>
  </si>
  <si>
    <t>smooth</t>
  </si>
  <si>
    <t>responsive</t>
  </si>
  <si>
    <t>fast</t>
  </si>
  <si>
    <t>reliable</t>
  </si>
  <si>
    <t>efficient</t>
  </si>
  <si>
    <t>laggy</t>
  </si>
  <si>
    <t>slow</t>
  </si>
  <si>
    <t>unresponsive</t>
  </si>
  <si>
    <t>broken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</si>
</sst>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869AA-B26D-4DE8-9E93-D3A202281650}">
  <dimension ref="A3:U95"/>
  <sheetViews>
    <sheetView tabSelected="1" topLeftCell="A13" zoomScale="115" zoomScaleNormal="115" workbookViewId="0">
      <selection activeCell="D21" sqref="D21"/>
    </sheetView>
  </sheetViews>
  <sheetFormatPr defaultRowHeight="15" x14ac:dyDescent="0.25"/>
  <cols>
    <col min="1" max="1" width="12" customWidth="1"/>
    <col min="2" max="2" width="11.85546875" customWidth="1"/>
    <col min="3" max="3" width="14.5703125" customWidth="1"/>
    <col min="4" max="4" width="11.7109375" customWidth="1"/>
    <col min="18" max="18" width="12.42578125" customWidth="1"/>
    <col min="20" max="20" width="12.85546875" customWidth="1"/>
  </cols>
  <sheetData>
    <row r="3" spans="1:12" x14ac:dyDescent="0.25">
      <c r="A3" t="s">
        <v>0</v>
      </c>
    </row>
    <row r="5" spans="1:12" x14ac:dyDescent="0.25">
      <c r="A5" s="3" t="s">
        <v>15</v>
      </c>
    </row>
    <row r="6" spans="1:12" x14ac:dyDescent="0.25">
      <c r="A6" s="3" t="s">
        <v>8</v>
      </c>
      <c r="B6" s="3" t="s">
        <v>7</v>
      </c>
      <c r="C6" s="3"/>
      <c r="D6" s="3"/>
    </row>
    <row r="7" spans="1:12" ht="15.75" x14ac:dyDescent="0.25">
      <c r="A7" t="s">
        <v>1</v>
      </c>
      <c r="B7" s="1" t="s">
        <v>10</v>
      </c>
    </row>
    <row r="8" spans="1:12" ht="15.75" x14ac:dyDescent="0.25">
      <c r="A8" t="s">
        <v>2</v>
      </c>
      <c r="B8" s="2" t="s">
        <v>9</v>
      </c>
      <c r="I8" s="3"/>
    </row>
    <row r="9" spans="1:12" ht="15.75" x14ac:dyDescent="0.25">
      <c r="A9" t="s">
        <v>3</v>
      </c>
      <c r="B9" s="2" t="s">
        <v>11</v>
      </c>
      <c r="I9" s="3"/>
      <c r="J9" s="3"/>
      <c r="K9" s="3"/>
      <c r="L9" s="3"/>
    </row>
    <row r="10" spans="1:12" ht="15.75" x14ac:dyDescent="0.25">
      <c r="A10" t="s">
        <v>4</v>
      </c>
      <c r="B10" s="2" t="s">
        <v>12</v>
      </c>
      <c r="J10" s="1"/>
    </row>
    <row r="11" spans="1:12" ht="15.75" x14ac:dyDescent="0.25">
      <c r="A11" t="s">
        <v>5</v>
      </c>
      <c r="B11" s="2" t="s">
        <v>13</v>
      </c>
      <c r="J11" s="2"/>
    </row>
    <row r="12" spans="1:12" ht="15.75" x14ac:dyDescent="0.25">
      <c r="A12" t="s">
        <v>6</v>
      </c>
      <c r="B12" s="1" t="s">
        <v>14</v>
      </c>
      <c r="J12" s="2"/>
    </row>
    <row r="13" spans="1:12" ht="15.75" x14ac:dyDescent="0.25">
      <c r="J13" s="2"/>
    </row>
    <row r="14" spans="1:12" ht="15.75" x14ac:dyDescent="0.25">
      <c r="J14" s="2"/>
    </row>
    <row r="15" spans="1:12" ht="15.75" x14ac:dyDescent="0.25">
      <c r="A15" s="3" t="s">
        <v>16</v>
      </c>
      <c r="J15" s="1"/>
    </row>
    <row r="16" spans="1:12" x14ac:dyDescent="0.25">
      <c r="A16" s="3" t="s">
        <v>17</v>
      </c>
      <c r="B16" s="3" t="s">
        <v>1</v>
      </c>
      <c r="C16" s="3" t="s">
        <v>2</v>
      </c>
      <c r="D16" s="3" t="s">
        <v>3</v>
      </c>
      <c r="E16" s="3" t="s">
        <v>4</v>
      </c>
      <c r="F16" s="3" t="s">
        <v>5</v>
      </c>
      <c r="G16" s="3" t="s">
        <v>6</v>
      </c>
      <c r="H16" s="3" t="s">
        <v>44</v>
      </c>
    </row>
    <row r="17" spans="1:8" x14ac:dyDescent="0.25">
      <c r="A17" s="3" t="s">
        <v>18</v>
      </c>
      <c r="B17">
        <v>1</v>
      </c>
      <c r="C17">
        <v>0</v>
      </c>
      <c r="D17">
        <v>0</v>
      </c>
      <c r="E17">
        <v>1</v>
      </c>
      <c r="F17">
        <v>1</v>
      </c>
      <c r="G17">
        <v>1</v>
      </c>
      <c r="H17">
        <f>SUM(B17:G17)</f>
        <v>4</v>
      </c>
    </row>
    <row r="18" spans="1:8" x14ac:dyDescent="0.25">
      <c r="A18" s="3" t="s">
        <v>19</v>
      </c>
      <c r="B18">
        <v>1</v>
      </c>
      <c r="C18">
        <v>1</v>
      </c>
      <c r="D18">
        <v>1</v>
      </c>
      <c r="E18">
        <v>0</v>
      </c>
      <c r="F18">
        <v>1</v>
      </c>
      <c r="G18">
        <v>0</v>
      </c>
      <c r="H18">
        <f t="shared" ref="H18:H35" si="0">SUM(B18:G18)</f>
        <v>4</v>
      </c>
    </row>
    <row r="19" spans="1:8" x14ac:dyDescent="0.25">
      <c r="A19" s="3" t="s">
        <v>20</v>
      </c>
      <c r="B19">
        <v>1</v>
      </c>
      <c r="C19">
        <v>0</v>
      </c>
      <c r="D19">
        <v>0</v>
      </c>
      <c r="E19">
        <v>0</v>
      </c>
      <c r="F19">
        <v>1</v>
      </c>
      <c r="G19">
        <v>0</v>
      </c>
      <c r="H19">
        <f t="shared" si="0"/>
        <v>2</v>
      </c>
    </row>
    <row r="20" spans="1:8" x14ac:dyDescent="0.25">
      <c r="A20" s="3" t="s">
        <v>21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f t="shared" si="0"/>
        <v>1</v>
      </c>
    </row>
    <row r="21" spans="1:8" x14ac:dyDescent="0.25">
      <c r="A21" s="3" t="s">
        <v>22</v>
      </c>
      <c r="B21">
        <v>1</v>
      </c>
      <c r="C21">
        <v>0</v>
      </c>
      <c r="D21">
        <v>0</v>
      </c>
      <c r="E21">
        <v>0</v>
      </c>
      <c r="F21">
        <v>0</v>
      </c>
      <c r="G21">
        <v>1</v>
      </c>
      <c r="H21">
        <f t="shared" si="0"/>
        <v>2</v>
      </c>
    </row>
    <row r="22" spans="1:8" x14ac:dyDescent="0.25">
      <c r="A22" s="3" t="s">
        <v>23</v>
      </c>
      <c r="B22">
        <v>1</v>
      </c>
      <c r="C22">
        <v>0</v>
      </c>
      <c r="D22">
        <v>0</v>
      </c>
      <c r="E22">
        <v>0</v>
      </c>
      <c r="F22">
        <v>0</v>
      </c>
      <c r="G22">
        <v>1</v>
      </c>
      <c r="H22">
        <f t="shared" si="0"/>
        <v>2</v>
      </c>
    </row>
    <row r="23" spans="1:8" x14ac:dyDescent="0.25">
      <c r="A23" s="3" t="s">
        <v>24</v>
      </c>
      <c r="B23">
        <v>0</v>
      </c>
      <c r="C23">
        <v>1</v>
      </c>
      <c r="D23">
        <v>0</v>
      </c>
      <c r="E23">
        <v>0</v>
      </c>
      <c r="F23">
        <v>0</v>
      </c>
      <c r="G23">
        <v>0</v>
      </c>
      <c r="H23">
        <f t="shared" si="0"/>
        <v>1</v>
      </c>
    </row>
    <row r="24" spans="1:8" x14ac:dyDescent="0.25">
      <c r="A24" s="3" t="s">
        <v>25</v>
      </c>
      <c r="B24">
        <v>0</v>
      </c>
      <c r="C24">
        <v>1</v>
      </c>
      <c r="D24">
        <v>0</v>
      </c>
      <c r="E24">
        <v>0</v>
      </c>
      <c r="F24">
        <v>0</v>
      </c>
      <c r="G24">
        <v>0</v>
      </c>
      <c r="H24">
        <f t="shared" si="0"/>
        <v>1</v>
      </c>
    </row>
    <row r="25" spans="1:8" x14ac:dyDescent="0.25">
      <c r="A25" s="3" t="s">
        <v>26</v>
      </c>
      <c r="B25">
        <v>0</v>
      </c>
      <c r="C25">
        <v>1</v>
      </c>
      <c r="D25">
        <v>0</v>
      </c>
      <c r="E25">
        <v>0</v>
      </c>
      <c r="F25">
        <v>0</v>
      </c>
      <c r="G25">
        <v>0</v>
      </c>
      <c r="H25">
        <f t="shared" si="0"/>
        <v>1</v>
      </c>
    </row>
    <row r="26" spans="1:8" x14ac:dyDescent="0.25">
      <c r="A26" s="3" t="s">
        <v>27</v>
      </c>
      <c r="B26">
        <v>0</v>
      </c>
      <c r="C26">
        <v>0</v>
      </c>
      <c r="D26">
        <v>1</v>
      </c>
      <c r="E26">
        <v>0</v>
      </c>
      <c r="F26">
        <v>0</v>
      </c>
      <c r="G26">
        <v>0</v>
      </c>
      <c r="H26">
        <f t="shared" si="0"/>
        <v>1</v>
      </c>
    </row>
    <row r="27" spans="1:8" x14ac:dyDescent="0.25">
      <c r="A27" s="3" t="s">
        <v>28</v>
      </c>
      <c r="B27">
        <v>0</v>
      </c>
      <c r="C27">
        <v>0</v>
      </c>
      <c r="D27">
        <v>1</v>
      </c>
      <c r="E27">
        <v>0</v>
      </c>
      <c r="F27">
        <v>0</v>
      </c>
      <c r="G27">
        <v>0</v>
      </c>
      <c r="H27">
        <f t="shared" si="0"/>
        <v>1</v>
      </c>
    </row>
    <row r="28" spans="1:8" x14ac:dyDescent="0.25">
      <c r="A28" s="3" t="s">
        <v>29</v>
      </c>
      <c r="B28">
        <v>0</v>
      </c>
      <c r="C28">
        <v>0</v>
      </c>
      <c r="D28">
        <v>0</v>
      </c>
      <c r="E28">
        <v>1</v>
      </c>
      <c r="F28">
        <v>0</v>
      </c>
      <c r="G28">
        <v>0</v>
      </c>
      <c r="H28">
        <f t="shared" si="0"/>
        <v>1</v>
      </c>
    </row>
    <row r="29" spans="1:8" x14ac:dyDescent="0.25">
      <c r="A29" s="3" t="s">
        <v>30</v>
      </c>
      <c r="B29">
        <v>0</v>
      </c>
      <c r="C29">
        <v>0</v>
      </c>
      <c r="D29">
        <v>0</v>
      </c>
      <c r="E29">
        <v>1</v>
      </c>
      <c r="F29">
        <v>0</v>
      </c>
      <c r="G29">
        <v>0</v>
      </c>
      <c r="H29">
        <f t="shared" si="0"/>
        <v>1</v>
      </c>
    </row>
    <row r="30" spans="1:8" x14ac:dyDescent="0.25">
      <c r="A30" s="3" t="s">
        <v>31</v>
      </c>
      <c r="B30">
        <v>0</v>
      </c>
      <c r="C30">
        <v>0</v>
      </c>
      <c r="D30">
        <v>0</v>
      </c>
      <c r="E30">
        <v>0</v>
      </c>
      <c r="F30">
        <v>1</v>
      </c>
      <c r="G30">
        <v>0</v>
      </c>
      <c r="H30">
        <f t="shared" si="0"/>
        <v>1</v>
      </c>
    </row>
    <row r="31" spans="1:8" x14ac:dyDescent="0.25">
      <c r="A31" s="3" t="s">
        <v>32</v>
      </c>
      <c r="B31">
        <v>0</v>
      </c>
      <c r="C31">
        <v>0</v>
      </c>
      <c r="D31">
        <v>0</v>
      </c>
      <c r="E31">
        <v>0</v>
      </c>
      <c r="F31">
        <v>1</v>
      </c>
      <c r="G31">
        <v>0</v>
      </c>
      <c r="H31">
        <f t="shared" si="0"/>
        <v>1</v>
      </c>
    </row>
    <row r="32" spans="1:8" x14ac:dyDescent="0.25">
      <c r="A32" s="3" t="s">
        <v>33</v>
      </c>
      <c r="B32">
        <v>0</v>
      </c>
      <c r="C32">
        <v>0</v>
      </c>
      <c r="D32">
        <v>0</v>
      </c>
      <c r="E32">
        <v>0</v>
      </c>
      <c r="F32">
        <v>1</v>
      </c>
      <c r="G32">
        <v>0</v>
      </c>
      <c r="H32">
        <f t="shared" si="0"/>
        <v>1</v>
      </c>
    </row>
    <row r="33" spans="1:21" x14ac:dyDescent="0.25">
      <c r="A33" s="3" t="s">
        <v>34</v>
      </c>
      <c r="B33">
        <v>0</v>
      </c>
      <c r="C33">
        <v>0</v>
      </c>
      <c r="D33">
        <v>0</v>
      </c>
      <c r="E33">
        <v>0</v>
      </c>
      <c r="F33">
        <v>0</v>
      </c>
      <c r="G33">
        <v>1</v>
      </c>
      <c r="H33">
        <f t="shared" si="0"/>
        <v>1</v>
      </c>
    </row>
    <row r="34" spans="1:21" x14ac:dyDescent="0.25">
      <c r="A34" s="3" t="s">
        <v>35</v>
      </c>
      <c r="B34">
        <v>0</v>
      </c>
      <c r="C34">
        <v>0</v>
      </c>
      <c r="D34">
        <v>0</v>
      </c>
      <c r="E34">
        <v>0</v>
      </c>
      <c r="F34">
        <v>0</v>
      </c>
      <c r="G34">
        <v>1</v>
      </c>
      <c r="H34">
        <f t="shared" si="0"/>
        <v>1</v>
      </c>
    </row>
    <row r="35" spans="1:21" x14ac:dyDescent="0.25">
      <c r="A35" s="3" t="s">
        <v>36</v>
      </c>
      <c r="B35">
        <v>0</v>
      </c>
      <c r="C35">
        <v>0</v>
      </c>
      <c r="D35">
        <v>0</v>
      </c>
      <c r="E35">
        <v>0</v>
      </c>
      <c r="F35">
        <v>0</v>
      </c>
      <c r="G35">
        <v>1</v>
      </c>
      <c r="H35">
        <f t="shared" si="0"/>
        <v>1</v>
      </c>
    </row>
    <row r="38" spans="1:21" x14ac:dyDescent="0.25">
      <c r="A38" s="3" t="s">
        <v>37</v>
      </c>
    </row>
    <row r="39" spans="1:21" s="3" customFormat="1" x14ac:dyDescent="0.25">
      <c r="B39" s="3" t="s">
        <v>18</v>
      </c>
      <c r="C39" s="3" t="s">
        <v>19</v>
      </c>
      <c r="D39" s="3" t="s">
        <v>20</v>
      </c>
      <c r="E39" s="3" t="s">
        <v>21</v>
      </c>
      <c r="F39" s="3" t="s">
        <v>22</v>
      </c>
      <c r="G39" s="3" t="s">
        <v>23</v>
      </c>
      <c r="H39" s="3" t="s">
        <v>24</v>
      </c>
      <c r="I39" s="3" t="s">
        <v>25</v>
      </c>
      <c r="J39" s="3" t="s">
        <v>26</v>
      </c>
      <c r="K39" s="3" t="s">
        <v>27</v>
      </c>
      <c r="L39" s="3" t="s">
        <v>28</v>
      </c>
      <c r="M39" s="3" t="s">
        <v>29</v>
      </c>
      <c r="N39" s="3" t="s">
        <v>30</v>
      </c>
      <c r="O39" s="3" t="s">
        <v>31</v>
      </c>
      <c r="P39" s="3" t="s">
        <v>32</v>
      </c>
      <c r="Q39" s="3" t="s">
        <v>33</v>
      </c>
      <c r="R39" s="3" t="s">
        <v>34</v>
      </c>
      <c r="S39" s="3" t="s">
        <v>35</v>
      </c>
      <c r="T39" s="3" t="s">
        <v>36</v>
      </c>
      <c r="U39" s="3" t="s">
        <v>44</v>
      </c>
    </row>
    <row r="40" spans="1:21" x14ac:dyDescent="0.25">
      <c r="A40" s="3" t="s">
        <v>1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f>SUM(B40:T40)</f>
        <v>6</v>
      </c>
    </row>
    <row r="41" spans="1:21" x14ac:dyDescent="0.25">
      <c r="A41" s="3" t="s">
        <v>2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1</v>
      </c>
      <c r="I41">
        <v>1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f t="shared" ref="U41:U45" si="1">SUM(B41:T41)</f>
        <v>4</v>
      </c>
    </row>
    <row r="42" spans="1:21" x14ac:dyDescent="0.25">
      <c r="A42" s="3" t="s">
        <v>3</v>
      </c>
      <c r="B42">
        <v>0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f t="shared" si="1"/>
        <v>3</v>
      </c>
    </row>
    <row r="43" spans="1:21" x14ac:dyDescent="0.25">
      <c r="A43" s="3" t="s">
        <v>4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f t="shared" si="1"/>
        <v>3</v>
      </c>
    </row>
    <row r="44" spans="1:21" x14ac:dyDescent="0.25">
      <c r="A44" s="3" t="s">
        <v>5</v>
      </c>
      <c r="B44">
        <v>1</v>
      </c>
      <c r="C44">
        <v>1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1</v>
      </c>
      <c r="Q44">
        <v>1</v>
      </c>
      <c r="R44">
        <v>0</v>
      </c>
      <c r="S44">
        <v>0</v>
      </c>
      <c r="T44">
        <v>0</v>
      </c>
      <c r="U44">
        <f t="shared" si="1"/>
        <v>6</v>
      </c>
    </row>
    <row r="45" spans="1:21" x14ac:dyDescent="0.25">
      <c r="A45" s="3" t="s">
        <v>6</v>
      </c>
      <c r="B45">
        <v>1</v>
      </c>
      <c r="C45">
        <v>0</v>
      </c>
      <c r="D45">
        <v>0</v>
      </c>
      <c r="E45">
        <v>0</v>
      </c>
      <c r="F45">
        <v>1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1</v>
      </c>
      <c r="T45">
        <v>1</v>
      </c>
      <c r="U45">
        <f t="shared" si="1"/>
        <v>6</v>
      </c>
    </row>
    <row r="48" spans="1:21" x14ac:dyDescent="0.25">
      <c r="A48" s="3" t="s">
        <v>38</v>
      </c>
    </row>
    <row r="49" spans="1:20" x14ac:dyDescent="0.25">
      <c r="A49" s="3" t="s">
        <v>39</v>
      </c>
      <c r="B49" s="3"/>
      <c r="C49" s="3"/>
      <c r="D49" s="3"/>
      <c r="E49" s="3"/>
      <c r="F49" s="3"/>
      <c r="G49" s="3"/>
      <c r="H49" s="3"/>
      <c r="I49" s="3"/>
      <c r="J49" s="3"/>
      <c r="K49" s="3" t="s">
        <v>43</v>
      </c>
      <c r="L49" s="3"/>
      <c r="M49" s="3"/>
      <c r="N49" s="3"/>
      <c r="O49" s="3"/>
      <c r="P49" s="3"/>
      <c r="Q49" s="3"/>
      <c r="R49" s="3"/>
      <c r="S49" s="3"/>
      <c r="T49" s="3"/>
    </row>
    <row r="50" spans="1:20" x14ac:dyDescent="0.25">
      <c r="A50" s="3" t="s">
        <v>17</v>
      </c>
      <c r="B50" s="3" t="s">
        <v>1</v>
      </c>
      <c r="C50" s="3" t="s">
        <v>2</v>
      </c>
      <c r="D50" s="3" t="s">
        <v>3</v>
      </c>
      <c r="E50" s="3" t="s">
        <v>4</v>
      </c>
      <c r="F50" s="3" t="s">
        <v>5</v>
      </c>
      <c r="G50" s="3" t="s">
        <v>6</v>
      </c>
      <c r="H50" s="3" t="s">
        <v>41</v>
      </c>
      <c r="I50" s="3" t="s">
        <v>40</v>
      </c>
      <c r="J50" s="3" t="s">
        <v>42</v>
      </c>
      <c r="K50" s="3" t="s">
        <v>1</v>
      </c>
      <c r="L50" s="3" t="s">
        <v>2</v>
      </c>
      <c r="M50" s="3" t="s">
        <v>3</v>
      </c>
      <c r="N50" s="3" t="s">
        <v>4</v>
      </c>
      <c r="O50" s="3" t="s">
        <v>5</v>
      </c>
      <c r="P50" s="3" t="s">
        <v>6</v>
      </c>
    </row>
    <row r="51" spans="1:20" x14ac:dyDescent="0.25">
      <c r="A51" s="3" t="s">
        <v>18</v>
      </c>
      <c r="B51">
        <v>1</v>
      </c>
      <c r="C51">
        <v>0</v>
      </c>
      <c r="D51">
        <v>0</v>
      </c>
      <c r="E51">
        <v>1</v>
      </c>
      <c r="F51">
        <v>1</v>
      </c>
      <c r="G51">
        <v>1</v>
      </c>
      <c r="H51">
        <f>SUM(B51:G51)</f>
        <v>4</v>
      </c>
      <c r="I51">
        <f>1000/H51</f>
        <v>250</v>
      </c>
      <c r="J51">
        <f>LOG(I51)</f>
        <v>2.3979400086720375</v>
      </c>
      <c r="K51">
        <f>J51*B51</f>
        <v>2.3979400086720375</v>
      </c>
      <c r="L51">
        <f>J51*C51</f>
        <v>0</v>
      </c>
      <c r="M51">
        <f>J51*D51</f>
        <v>0</v>
      </c>
      <c r="N51">
        <f>J51*E51</f>
        <v>2.3979400086720375</v>
      </c>
      <c r="O51">
        <f>J51*F51</f>
        <v>2.3979400086720375</v>
      </c>
      <c r="P51">
        <f>J51*G51</f>
        <v>2.3979400086720375</v>
      </c>
    </row>
    <row r="52" spans="1:20" x14ac:dyDescent="0.25">
      <c r="A52" s="3" t="s">
        <v>19</v>
      </c>
      <c r="B52">
        <v>1</v>
      </c>
      <c r="C52">
        <v>1</v>
      </c>
      <c r="D52">
        <v>1</v>
      </c>
      <c r="E52">
        <v>0</v>
      </c>
      <c r="F52">
        <v>1</v>
      </c>
      <c r="G52">
        <v>0</v>
      </c>
      <c r="H52">
        <f t="shared" ref="H52:H69" si="2">SUM(B52:G52)</f>
        <v>4</v>
      </c>
      <c r="I52">
        <f t="shared" ref="I52:I69" si="3">1000/H52</f>
        <v>250</v>
      </c>
      <c r="J52">
        <f t="shared" ref="J52:J69" si="4">LOG(I52)</f>
        <v>2.3979400086720375</v>
      </c>
      <c r="K52">
        <f t="shared" ref="K52:K69" si="5">J52*B52</f>
        <v>2.3979400086720375</v>
      </c>
      <c r="L52">
        <f t="shared" ref="L52:L69" si="6">J52*C52</f>
        <v>2.3979400086720375</v>
      </c>
      <c r="M52">
        <f t="shared" ref="M52:M69" si="7">J52*D52</f>
        <v>2.3979400086720375</v>
      </c>
      <c r="N52">
        <f t="shared" ref="N52:N69" si="8">J52*E52</f>
        <v>0</v>
      </c>
      <c r="O52">
        <f t="shared" ref="O52:O69" si="9">J52*F52</f>
        <v>2.3979400086720375</v>
      </c>
      <c r="P52">
        <f t="shared" ref="P52:P69" si="10">J52*G52</f>
        <v>0</v>
      </c>
    </row>
    <row r="53" spans="1:20" x14ac:dyDescent="0.25">
      <c r="A53" s="3" t="s">
        <v>20</v>
      </c>
      <c r="B53">
        <v>1</v>
      </c>
      <c r="C53">
        <v>0</v>
      </c>
      <c r="D53">
        <v>0</v>
      </c>
      <c r="E53">
        <v>0</v>
      </c>
      <c r="F53">
        <v>1</v>
      </c>
      <c r="G53">
        <v>0</v>
      </c>
      <c r="H53">
        <f t="shared" si="2"/>
        <v>2</v>
      </c>
      <c r="I53">
        <f t="shared" si="3"/>
        <v>500</v>
      </c>
      <c r="J53">
        <f t="shared" si="4"/>
        <v>2.6989700043360187</v>
      </c>
      <c r="K53">
        <f t="shared" si="5"/>
        <v>2.6989700043360187</v>
      </c>
      <c r="L53">
        <f t="shared" si="6"/>
        <v>0</v>
      </c>
      <c r="M53">
        <f t="shared" si="7"/>
        <v>0</v>
      </c>
      <c r="N53">
        <f t="shared" si="8"/>
        <v>0</v>
      </c>
      <c r="O53">
        <f t="shared" si="9"/>
        <v>2.6989700043360187</v>
      </c>
      <c r="P53">
        <f t="shared" si="10"/>
        <v>0</v>
      </c>
    </row>
    <row r="54" spans="1:20" x14ac:dyDescent="0.25">
      <c r="A54" s="3" t="s">
        <v>21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f t="shared" si="2"/>
        <v>1</v>
      </c>
      <c r="I54">
        <f t="shared" si="3"/>
        <v>1000</v>
      </c>
      <c r="J54">
        <f t="shared" si="4"/>
        <v>3</v>
      </c>
      <c r="K54">
        <f t="shared" si="5"/>
        <v>3</v>
      </c>
      <c r="L54">
        <f t="shared" si="6"/>
        <v>0</v>
      </c>
      <c r="M54">
        <f t="shared" si="7"/>
        <v>0</v>
      </c>
      <c r="N54">
        <f t="shared" si="8"/>
        <v>0</v>
      </c>
      <c r="O54">
        <f t="shared" si="9"/>
        <v>0</v>
      </c>
      <c r="P54">
        <f t="shared" si="10"/>
        <v>0</v>
      </c>
    </row>
    <row r="55" spans="1:20" x14ac:dyDescent="0.25">
      <c r="A55" s="3" t="s">
        <v>22</v>
      </c>
      <c r="B55">
        <v>1</v>
      </c>
      <c r="C55">
        <v>0</v>
      </c>
      <c r="D55">
        <v>0</v>
      </c>
      <c r="E55">
        <v>0</v>
      </c>
      <c r="F55">
        <v>0</v>
      </c>
      <c r="G55">
        <v>1</v>
      </c>
      <c r="H55">
        <f t="shared" si="2"/>
        <v>2</v>
      </c>
      <c r="I55">
        <f t="shared" si="3"/>
        <v>500</v>
      </c>
      <c r="J55">
        <f t="shared" si="4"/>
        <v>2.6989700043360187</v>
      </c>
      <c r="K55">
        <f t="shared" si="5"/>
        <v>2.6989700043360187</v>
      </c>
      <c r="L55">
        <f t="shared" si="6"/>
        <v>0</v>
      </c>
      <c r="M55">
        <f t="shared" si="7"/>
        <v>0</v>
      </c>
      <c r="N55">
        <f t="shared" si="8"/>
        <v>0</v>
      </c>
      <c r="O55">
        <f t="shared" si="9"/>
        <v>0</v>
      </c>
      <c r="P55">
        <f t="shared" si="10"/>
        <v>2.6989700043360187</v>
      </c>
    </row>
    <row r="56" spans="1:20" x14ac:dyDescent="0.25">
      <c r="A56" s="3" t="s">
        <v>23</v>
      </c>
      <c r="B56">
        <v>1</v>
      </c>
      <c r="C56">
        <v>0</v>
      </c>
      <c r="D56">
        <v>0</v>
      </c>
      <c r="E56">
        <v>0</v>
      </c>
      <c r="F56">
        <v>0</v>
      </c>
      <c r="G56">
        <v>1</v>
      </c>
      <c r="H56">
        <f t="shared" si="2"/>
        <v>2</v>
      </c>
      <c r="I56">
        <f t="shared" si="3"/>
        <v>500</v>
      </c>
      <c r="J56">
        <f t="shared" si="4"/>
        <v>2.6989700043360187</v>
      </c>
      <c r="K56">
        <f t="shared" si="5"/>
        <v>2.6989700043360187</v>
      </c>
      <c r="L56">
        <f t="shared" si="6"/>
        <v>0</v>
      </c>
      <c r="M56">
        <f t="shared" si="7"/>
        <v>0</v>
      </c>
      <c r="N56">
        <f t="shared" si="8"/>
        <v>0</v>
      </c>
      <c r="O56">
        <f t="shared" si="9"/>
        <v>0</v>
      </c>
      <c r="P56">
        <f t="shared" si="10"/>
        <v>2.6989700043360187</v>
      </c>
    </row>
    <row r="57" spans="1:20" x14ac:dyDescent="0.25">
      <c r="A57" s="3" t="s">
        <v>24</v>
      </c>
      <c r="B57">
        <v>0</v>
      </c>
      <c r="C57">
        <v>1</v>
      </c>
      <c r="D57">
        <v>0</v>
      </c>
      <c r="E57">
        <v>0</v>
      </c>
      <c r="F57">
        <v>0</v>
      </c>
      <c r="G57">
        <v>0</v>
      </c>
      <c r="H57">
        <f t="shared" si="2"/>
        <v>1</v>
      </c>
      <c r="I57">
        <f t="shared" si="3"/>
        <v>1000</v>
      </c>
      <c r="J57">
        <f t="shared" si="4"/>
        <v>3</v>
      </c>
      <c r="K57">
        <f t="shared" si="5"/>
        <v>0</v>
      </c>
      <c r="L57">
        <f t="shared" si="6"/>
        <v>3</v>
      </c>
      <c r="M57">
        <f t="shared" si="7"/>
        <v>0</v>
      </c>
      <c r="N57">
        <f t="shared" si="8"/>
        <v>0</v>
      </c>
      <c r="O57">
        <f t="shared" si="9"/>
        <v>0</v>
      </c>
      <c r="P57">
        <f t="shared" si="10"/>
        <v>0</v>
      </c>
    </row>
    <row r="58" spans="1:20" x14ac:dyDescent="0.25">
      <c r="A58" s="3" t="s">
        <v>25</v>
      </c>
      <c r="B58">
        <v>0</v>
      </c>
      <c r="C58">
        <v>1</v>
      </c>
      <c r="D58">
        <v>0</v>
      </c>
      <c r="E58">
        <v>0</v>
      </c>
      <c r="F58">
        <v>0</v>
      </c>
      <c r="G58">
        <v>0</v>
      </c>
      <c r="H58">
        <f t="shared" si="2"/>
        <v>1</v>
      </c>
      <c r="I58">
        <f t="shared" si="3"/>
        <v>1000</v>
      </c>
      <c r="J58">
        <f t="shared" si="4"/>
        <v>3</v>
      </c>
      <c r="K58">
        <f t="shared" si="5"/>
        <v>0</v>
      </c>
      <c r="L58">
        <f t="shared" si="6"/>
        <v>3</v>
      </c>
      <c r="M58">
        <f t="shared" si="7"/>
        <v>0</v>
      </c>
      <c r="N58">
        <f t="shared" si="8"/>
        <v>0</v>
      </c>
      <c r="O58">
        <f t="shared" si="9"/>
        <v>0</v>
      </c>
      <c r="P58">
        <f t="shared" si="10"/>
        <v>0</v>
      </c>
    </row>
    <row r="59" spans="1:20" x14ac:dyDescent="0.25">
      <c r="A59" s="3" t="s">
        <v>26</v>
      </c>
      <c r="B59">
        <v>0</v>
      </c>
      <c r="C59">
        <v>1</v>
      </c>
      <c r="D59">
        <v>0</v>
      </c>
      <c r="E59">
        <v>0</v>
      </c>
      <c r="F59">
        <v>0</v>
      </c>
      <c r="G59">
        <v>0</v>
      </c>
      <c r="H59">
        <f t="shared" si="2"/>
        <v>1</v>
      </c>
      <c r="I59">
        <f t="shared" si="3"/>
        <v>1000</v>
      </c>
      <c r="J59">
        <f t="shared" si="4"/>
        <v>3</v>
      </c>
      <c r="K59">
        <f t="shared" si="5"/>
        <v>0</v>
      </c>
      <c r="L59">
        <f t="shared" si="6"/>
        <v>3</v>
      </c>
      <c r="M59">
        <f t="shared" si="7"/>
        <v>0</v>
      </c>
      <c r="N59">
        <f t="shared" si="8"/>
        <v>0</v>
      </c>
      <c r="O59">
        <f t="shared" si="9"/>
        <v>0</v>
      </c>
      <c r="P59">
        <f t="shared" si="10"/>
        <v>0</v>
      </c>
    </row>
    <row r="60" spans="1:20" x14ac:dyDescent="0.25">
      <c r="A60" s="3" t="s">
        <v>27</v>
      </c>
      <c r="B60">
        <v>0</v>
      </c>
      <c r="C60">
        <v>0</v>
      </c>
      <c r="D60">
        <v>1</v>
      </c>
      <c r="E60">
        <v>0</v>
      </c>
      <c r="F60">
        <v>0</v>
      </c>
      <c r="G60">
        <v>0</v>
      </c>
      <c r="H60">
        <f t="shared" si="2"/>
        <v>1</v>
      </c>
      <c r="I60">
        <f t="shared" si="3"/>
        <v>1000</v>
      </c>
      <c r="J60">
        <f t="shared" si="4"/>
        <v>3</v>
      </c>
      <c r="K60">
        <f t="shared" si="5"/>
        <v>0</v>
      </c>
      <c r="L60">
        <f t="shared" si="6"/>
        <v>0</v>
      </c>
      <c r="M60">
        <f t="shared" si="7"/>
        <v>3</v>
      </c>
      <c r="N60">
        <f t="shared" si="8"/>
        <v>0</v>
      </c>
      <c r="O60">
        <f t="shared" si="9"/>
        <v>0</v>
      </c>
      <c r="P60">
        <f t="shared" si="10"/>
        <v>0</v>
      </c>
    </row>
    <row r="61" spans="1:20" x14ac:dyDescent="0.25">
      <c r="A61" s="3" t="s">
        <v>28</v>
      </c>
      <c r="B61">
        <v>0</v>
      </c>
      <c r="C61">
        <v>0</v>
      </c>
      <c r="D61">
        <v>1</v>
      </c>
      <c r="E61">
        <v>0</v>
      </c>
      <c r="F61">
        <v>0</v>
      </c>
      <c r="G61">
        <v>0</v>
      </c>
      <c r="H61">
        <f t="shared" si="2"/>
        <v>1</v>
      </c>
      <c r="I61">
        <f t="shared" si="3"/>
        <v>1000</v>
      </c>
      <c r="J61">
        <f t="shared" si="4"/>
        <v>3</v>
      </c>
      <c r="K61">
        <f t="shared" si="5"/>
        <v>0</v>
      </c>
      <c r="L61">
        <f t="shared" si="6"/>
        <v>0</v>
      </c>
      <c r="M61">
        <f t="shared" si="7"/>
        <v>3</v>
      </c>
      <c r="N61">
        <f t="shared" si="8"/>
        <v>0</v>
      </c>
      <c r="O61">
        <f t="shared" si="9"/>
        <v>0</v>
      </c>
      <c r="P61">
        <f t="shared" si="10"/>
        <v>0</v>
      </c>
    </row>
    <row r="62" spans="1:20" x14ac:dyDescent="0.25">
      <c r="A62" s="3" t="s">
        <v>29</v>
      </c>
      <c r="B62">
        <v>0</v>
      </c>
      <c r="C62">
        <v>0</v>
      </c>
      <c r="D62">
        <v>0</v>
      </c>
      <c r="E62">
        <v>1</v>
      </c>
      <c r="F62">
        <v>0</v>
      </c>
      <c r="G62">
        <v>0</v>
      </c>
      <c r="H62">
        <f t="shared" si="2"/>
        <v>1</v>
      </c>
      <c r="I62">
        <f t="shared" si="3"/>
        <v>1000</v>
      </c>
      <c r="J62">
        <f t="shared" si="4"/>
        <v>3</v>
      </c>
      <c r="K62">
        <f t="shared" si="5"/>
        <v>0</v>
      </c>
      <c r="L62">
        <f t="shared" si="6"/>
        <v>0</v>
      </c>
      <c r="M62">
        <f t="shared" si="7"/>
        <v>0</v>
      </c>
      <c r="N62">
        <f>J62*E62</f>
        <v>3</v>
      </c>
      <c r="O62">
        <f t="shared" si="9"/>
        <v>0</v>
      </c>
      <c r="P62">
        <f t="shared" si="10"/>
        <v>0</v>
      </c>
    </row>
    <row r="63" spans="1:20" x14ac:dyDescent="0.25">
      <c r="A63" s="3" t="s">
        <v>30</v>
      </c>
      <c r="B63">
        <v>0</v>
      </c>
      <c r="C63">
        <v>0</v>
      </c>
      <c r="D63">
        <v>0</v>
      </c>
      <c r="E63">
        <v>1</v>
      </c>
      <c r="F63">
        <v>0</v>
      </c>
      <c r="G63">
        <v>0</v>
      </c>
      <c r="H63">
        <f t="shared" si="2"/>
        <v>1</v>
      </c>
      <c r="I63">
        <f t="shared" si="3"/>
        <v>1000</v>
      </c>
      <c r="J63">
        <f t="shared" si="4"/>
        <v>3</v>
      </c>
      <c r="K63">
        <f t="shared" si="5"/>
        <v>0</v>
      </c>
      <c r="L63">
        <f t="shared" si="6"/>
        <v>0</v>
      </c>
      <c r="M63">
        <f t="shared" si="7"/>
        <v>0</v>
      </c>
      <c r="N63">
        <f t="shared" si="8"/>
        <v>3</v>
      </c>
      <c r="O63">
        <f t="shared" si="9"/>
        <v>0</v>
      </c>
      <c r="P63">
        <f t="shared" si="10"/>
        <v>0</v>
      </c>
    </row>
    <row r="64" spans="1:20" x14ac:dyDescent="0.25">
      <c r="A64" s="3" t="s">
        <v>31</v>
      </c>
      <c r="B64">
        <v>0</v>
      </c>
      <c r="C64">
        <v>0</v>
      </c>
      <c r="D64">
        <v>0</v>
      </c>
      <c r="E64">
        <v>0</v>
      </c>
      <c r="F64">
        <v>1</v>
      </c>
      <c r="G64">
        <v>0</v>
      </c>
      <c r="H64">
        <f t="shared" si="2"/>
        <v>1</v>
      </c>
      <c r="I64">
        <f t="shared" si="3"/>
        <v>1000</v>
      </c>
      <c r="J64">
        <f t="shared" si="4"/>
        <v>3</v>
      </c>
      <c r="K64">
        <f t="shared" si="5"/>
        <v>0</v>
      </c>
      <c r="L64">
        <f t="shared" si="6"/>
        <v>0</v>
      </c>
      <c r="M64">
        <f t="shared" si="7"/>
        <v>0</v>
      </c>
      <c r="N64">
        <f t="shared" si="8"/>
        <v>0</v>
      </c>
      <c r="O64">
        <f t="shared" si="9"/>
        <v>3</v>
      </c>
      <c r="P64">
        <f t="shared" si="10"/>
        <v>0</v>
      </c>
    </row>
    <row r="65" spans="1:16" x14ac:dyDescent="0.25">
      <c r="A65" s="3" t="s">
        <v>32</v>
      </c>
      <c r="B65">
        <v>0</v>
      </c>
      <c r="C65">
        <v>0</v>
      </c>
      <c r="D65">
        <v>0</v>
      </c>
      <c r="E65">
        <v>0</v>
      </c>
      <c r="F65">
        <v>1</v>
      </c>
      <c r="G65">
        <v>0</v>
      </c>
      <c r="H65">
        <f t="shared" si="2"/>
        <v>1</v>
      </c>
      <c r="I65">
        <f t="shared" si="3"/>
        <v>1000</v>
      </c>
      <c r="J65">
        <f t="shared" si="4"/>
        <v>3</v>
      </c>
      <c r="K65">
        <f t="shared" si="5"/>
        <v>0</v>
      </c>
      <c r="L65">
        <f t="shared" si="6"/>
        <v>0</v>
      </c>
      <c r="M65">
        <f t="shared" si="7"/>
        <v>0</v>
      </c>
      <c r="N65">
        <f t="shared" si="8"/>
        <v>0</v>
      </c>
      <c r="O65">
        <f t="shared" si="9"/>
        <v>3</v>
      </c>
      <c r="P65">
        <f t="shared" si="10"/>
        <v>0</v>
      </c>
    </row>
    <row r="66" spans="1:16" x14ac:dyDescent="0.25">
      <c r="A66" s="3" t="s">
        <v>33</v>
      </c>
      <c r="B66">
        <v>0</v>
      </c>
      <c r="C66">
        <v>0</v>
      </c>
      <c r="D66">
        <v>0</v>
      </c>
      <c r="E66">
        <v>0</v>
      </c>
      <c r="F66">
        <v>1</v>
      </c>
      <c r="G66">
        <v>0</v>
      </c>
      <c r="H66">
        <f t="shared" si="2"/>
        <v>1</v>
      </c>
      <c r="I66">
        <f t="shared" si="3"/>
        <v>1000</v>
      </c>
      <c r="J66">
        <f t="shared" si="4"/>
        <v>3</v>
      </c>
      <c r="K66">
        <f t="shared" si="5"/>
        <v>0</v>
      </c>
      <c r="L66">
        <f t="shared" si="6"/>
        <v>0</v>
      </c>
      <c r="M66">
        <f t="shared" si="7"/>
        <v>0</v>
      </c>
      <c r="N66">
        <f t="shared" si="8"/>
        <v>0</v>
      </c>
      <c r="O66">
        <f t="shared" si="9"/>
        <v>3</v>
      </c>
      <c r="P66">
        <f t="shared" si="10"/>
        <v>0</v>
      </c>
    </row>
    <row r="67" spans="1:16" x14ac:dyDescent="0.25">
      <c r="A67" s="3" t="s">
        <v>34</v>
      </c>
      <c r="B67">
        <v>0</v>
      </c>
      <c r="C67">
        <v>0</v>
      </c>
      <c r="D67">
        <v>0</v>
      </c>
      <c r="E67">
        <v>0</v>
      </c>
      <c r="F67">
        <v>0</v>
      </c>
      <c r="G67">
        <v>1</v>
      </c>
      <c r="H67">
        <f t="shared" si="2"/>
        <v>1</v>
      </c>
      <c r="I67">
        <f t="shared" si="3"/>
        <v>1000</v>
      </c>
      <c r="J67">
        <f t="shared" si="4"/>
        <v>3</v>
      </c>
      <c r="K67">
        <f t="shared" si="5"/>
        <v>0</v>
      </c>
      <c r="L67">
        <f t="shared" si="6"/>
        <v>0</v>
      </c>
      <c r="M67">
        <f t="shared" si="7"/>
        <v>0</v>
      </c>
      <c r="N67">
        <f t="shared" si="8"/>
        <v>0</v>
      </c>
      <c r="O67">
        <f t="shared" si="9"/>
        <v>0</v>
      </c>
      <c r="P67">
        <f t="shared" si="10"/>
        <v>3</v>
      </c>
    </row>
    <row r="68" spans="1:16" x14ac:dyDescent="0.25">
      <c r="A68" s="3" t="s">
        <v>35</v>
      </c>
      <c r="B68">
        <v>0</v>
      </c>
      <c r="C68">
        <v>0</v>
      </c>
      <c r="D68">
        <v>0</v>
      </c>
      <c r="E68">
        <v>0</v>
      </c>
      <c r="F68">
        <v>0</v>
      </c>
      <c r="G68">
        <v>1</v>
      </c>
      <c r="H68">
        <f t="shared" si="2"/>
        <v>1</v>
      </c>
      <c r="I68">
        <f t="shared" si="3"/>
        <v>1000</v>
      </c>
      <c r="J68">
        <f t="shared" si="4"/>
        <v>3</v>
      </c>
      <c r="K68">
        <f t="shared" si="5"/>
        <v>0</v>
      </c>
      <c r="L68">
        <f t="shared" si="6"/>
        <v>0</v>
      </c>
      <c r="M68">
        <f t="shared" si="7"/>
        <v>0</v>
      </c>
      <c r="N68">
        <f t="shared" si="8"/>
        <v>0</v>
      </c>
      <c r="O68">
        <f t="shared" si="9"/>
        <v>0</v>
      </c>
      <c r="P68">
        <f t="shared" si="10"/>
        <v>3</v>
      </c>
    </row>
    <row r="69" spans="1:16" x14ac:dyDescent="0.25">
      <c r="A69" s="3" t="s">
        <v>36</v>
      </c>
      <c r="B69">
        <v>0</v>
      </c>
      <c r="C69">
        <v>0</v>
      </c>
      <c r="D69">
        <v>0</v>
      </c>
      <c r="E69">
        <v>0</v>
      </c>
      <c r="F69">
        <v>0</v>
      </c>
      <c r="G69">
        <v>1</v>
      </c>
      <c r="H69">
        <f t="shared" si="2"/>
        <v>1</v>
      </c>
      <c r="I69">
        <f t="shared" si="3"/>
        <v>1000</v>
      </c>
      <c r="J69">
        <f t="shared" si="4"/>
        <v>3</v>
      </c>
      <c r="K69">
        <f t="shared" si="5"/>
        <v>0</v>
      </c>
      <c r="L69">
        <f t="shared" si="6"/>
        <v>0</v>
      </c>
      <c r="M69">
        <f t="shared" si="7"/>
        <v>0</v>
      </c>
      <c r="N69">
        <f t="shared" si="8"/>
        <v>0</v>
      </c>
      <c r="O69">
        <f t="shared" si="9"/>
        <v>0</v>
      </c>
      <c r="P69">
        <f t="shared" si="10"/>
        <v>3</v>
      </c>
    </row>
    <row r="73" spans="1:16" x14ac:dyDescent="0.25">
      <c r="A73" s="3" t="s">
        <v>38</v>
      </c>
    </row>
    <row r="74" spans="1:16" x14ac:dyDescent="0.25">
      <c r="A74" s="3"/>
      <c r="B74" t="s">
        <v>41</v>
      </c>
    </row>
    <row r="75" spans="1:16" x14ac:dyDescent="0.25">
      <c r="A75" s="3" t="s">
        <v>39</v>
      </c>
      <c r="B75">
        <v>6</v>
      </c>
      <c r="C75">
        <v>4</v>
      </c>
      <c r="D75">
        <v>3</v>
      </c>
      <c r="E75">
        <v>3</v>
      </c>
      <c r="F75">
        <v>6</v>
      </c>
      <c r="G75">
        <v>6</v>
      </c>
      <c r="H75" s="3"/>
      <c r="I75" s="3"/>
      <c r="J75" s="3"/>
      <c r="K75" s="3" t="s">
        <v>43</v>
      </c>
      <c r="L75" s="3"/>
      <c r="M75" s="3"/>
      <c r="N75" s="3"/>
      <c r="O75" s="3"/>
      <c r="P75" s="3"/>
    </row>
    <row r="76" spans="1:16" x14ac:dyDescent="0.25">
      <c r="A76" s="3" t="s">
        <v>17</v>
      </c>
      <c r="B76" s="3" t="s">
        <v>1</v>
      </c>
      <c r="C76" s="3" t="s">
        <v>2</v>
      </c>
      <c r="D76" s="3" t="s">
        <v>3</v>
      </c>
      <c r="E76" s="3" t="s">
        <v>4</v>
      </c>
      <c r="F76" s="3" t="s">
        <v>5</v>
      </c>
      <c r="G76" s="3" t="s">
        <v>6</v>
      </c>
      <c r="H76" s="3" t="s">
        <v>41</v>
      </c>
      <c r="I76" s="3" t="s">
        <v>40</v>
      </c>
      <c r="J76" s="3" t="s">
        <v>42</v>
      </c>
      <c r="K76" s="3" t="s">
        <v>1</v>
      </c>
      <c r="L76" s="3" t="s">
        <v>2</v>
      </c>
      <c r="M76" s="3" t="s">
        <v>3</v>
      </c>
      <c r="N76" s="3" t="s">
        <v>4</v>
      </c>
      <c r="O76" s="3" t="s">
        <v>5</v>
      </c>
      <c r="P76" s="3" t="s">
        <v>6</v>
      </c>
    </row>
    <row r="77" spans="1:16" x14ac:dyDescent="0.25">
      <c r="A77" s="3" t="s">
        <v>18</v>
      </c>
      <c r="B77">
        <v>1</v>
      </c>
      <c r="C77">
        <v>0</v>
      </c>
      <c r="D77">
        <v>0</v>
      </c>
      <c r="E77">
        <v>1</v>
      </c>
      <c r="F77">
        <v>1</v>
      </c>
      <c r="G77">
        <v>1</v>
      </c>
      <c r="H77">
        <f>SUM(B77:G77)</f>
        <v>4</v>
      </c>
      <c r="I77">
        <f>1000/H77</f>
        <v>250</v>
      </c>
      <c r="J77">
        <f>LOG(I77)</f>
        <v>2.3979400086720375</v>
      </c>
      <c r="K77">
        <f>J77*B77</f>
        <v>2.3979400086720375</v>
      </c>
      <c r="L77">
        <f>J77*C77</f>
        <v>0</v>
      </c>
      <c r="M77">
        <f>J77*D77</f>
        <v>0</v>
      </c>
      <c r="N77">
        <f>J77*E77</f>
        <v>2.3979400086720375</v>
      </c>
      <c r="O77">
        <f>J77*F77</f>
        <v>2.3979400086720375</v>
      </c>
      <c r="P77">
        <f>J77*G77</f>
        <v>2.3979400086720375</v>
      </c>
    </row>
    <row r="78" spans="1:16" x14ac:dyDescent="0.25">
      <c r="A78" s="3" t="s">
        <v>19</v>
      </c>
      <c r="B78">
        <v>1</v>
      </c>
      <c r="C78">
        <v>1</v>
      </c>
      <c r="D78">
        <v>1</v>
      </c>
      <c r="E78">
        <v>0</v>
      </c>
      <c r="F78">
        <v>1</v>
      </c>
      <c r="G78">
        <v>0</v>
      </c>
      <c r="H78">
        <f t="shared" ref="H78:H95" si="11">SUM(B78:G78)</f>
        <v>4</v>
      </c>
      <c r="I78">
        <f t="shared" ref="I78:I95" si="12">1000/H78</f>
        <v>250</v>
      </c>
      <c r="J78">
        <f t="shared" ref="J78:J95" si="13">LOG(I78)</f>
        <v>2.3979400086720375</v>
      </c>
      <c r="K78">
        <f t="shared" ref="K78:K95" si="14">J78*B78</f>
        <v>2.3979400086720375</v>
      </c>
      <c r="L78">
        <f t="shared" ref="L78:L95" si="15">J78*C78</f>
        <v>2.3979400086720375</v>
      </c>
      <c r="M78">
        <f t="shared" ref="M78:M95" si="16">J78*D78</f>
        <v>2.3979400086720375</v>
      </c>
      <c r="N78">
        <f t="shared" ref="N78:N95" si="17">J78*E78</f>
        <v>0</v>
      </c>
      <c r="O78">
        <f t="shared" ref="O78:O95" si="18">J78*F78</f>
        <v>2.3979400086720375</v>
      </c>
      <c r="P78">
        <f t="shared" ref="P78:P95" si="19">J78*G78</f>
        <v>0</v>
      </c>
    </row>
    <row r="79" spans="1:16" x14ac:dyDescent="0.25">
      <c r="A79" s="3" t="s">
        <v>20</v>
      </c>
      <c r="B79">
        <v>1</v>
      </c>
      <c r="C79">
        <v>0</v>
      </c>
      <c r="D79">
        <v>0</v>
      </c>
      <c r="E79">
        <v>0</v>
      </c>
      <c r="F79">
        <v>1</v>
      </c>
      <c r="G79">
        <v>0</v>
      </c>
      <c r="H79">
        <f t="shared" si="11"/>
        <v>2</v>
      </c>
      <c r="I79">
        <f t="shared" si="12"/>
        <v>500</v>
      </c>
      <c r="J79">
        <f t="shared" si="13"/>
        <v>2.6989700043360187</v>
      </c>
      <c r="K79">
        <f t="shared" si="14"/>
        <v>2.6989700043360187</v>
      </c>
      <c r="L79">
        <f t="shared" si="15"/>
        <v>0</v>
      </c>
      <c r="M79">
        <f t="shared" si="16"/>
        <v>0</v>
      </c>
      <c r="N79">
        <f t="shared" si="17"/>
        <v>0</v>
      </c>
      <c r="O79">
        <f t="shared" si="18"/>
        <v>2.6989700043360187</v>
      </c>
      <c r="P79">
        <f t="shared" si="19"/>
        <v>0</v>
      </c>
    </row>
    <row r="80" spans="1:16" x14ac:dyDescent="0.25">
      <c r="A80" s="3" t="s">
        <v>21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f t="shared" si="11"/>
        <v>1</v>
      </c>
      <c r="I80">
        <f t="shared" si="12"/>
        <v>1000</v>
      </c>
      <c r="J80">
        <f t="shared" si="13"/>
        <v>3</v>
      </c>
      <c r="K80">
        <f t="shared" si="14"/>
        <v>3</v>
      </c>
      <c r="L80">
        <f t="shared" si="15"/>
        <v>0</v>
      </c>
      <c r="M80">
        <f t="shared" si="16"/>
        <v>0</v>
      </c>
      <c r="N80">
        <f t="shared" si="17"/>
        <v>0</v>
      </c>
      <c r="O80">
        <f t="shared" si="18"/>
        <v>0</v>
      </c>
      <c r="P80">
        <f t="shared" si="19"/>
        <v>0</v>
      </c>
    </row>
    <row r="81" spans="1:16" x14ac:dyDescent="0.25">
      <c r="A81" s="3" t="s">
        <v>22</v>
      </c>
      <c r="B81">
        <v>1</v>
      </c>
      <c r="C81">
        <v>0</v>
      </c>
      <c r="D81">
        <v>0</v>
      </c>
      <c r="E81">
        <v>0</v>
      </c>
      <c r="F81">
        <v>0</v>
      </c>
      <c r="G81">
        <v>1</v>
      </c>
      <c r="H81">
        <f t="shared" si="11"/>
        <v>2</v>
      </c>
      <c r="I81">
        <f t="shared" si="12"/>
        <v>500</v>
      </c>
      <c r="J81">
        <f t="shared" si="13"/>
        <v>2.6989700043360187</v>
      </c>
      <c r="K81">
        <f t="shared" si="14"/>
        <v>2.6989700043360187</v>
      </c>
      <c r="L81">
        <f t="shared" si="15"/>
        <v>0</v>
      </c>
      <c r="M81">
        <f t="shared" si="16"/>
        <v>0</v>
      </c>
      <c r="N81">
        <f t="shared" si="17"/>
        <v>0</v>
      </c>
      <c r="O81">
        <f t="shared" si="18"/>
        <v>0</v>
      </c>
      <c r="P81">
        <f t="shared" si="19"/>
        <v>2.6989700043360187</v>
      </c>
    </row>
    <row r="82" spans="1:16" x14ac:dyDescent="0.25">
      <c r="A82" s="3" t="s">
        <v>23</v>
      </c>
      <c r="B82">
        <v>1</v>
      </c>
      <c r="C82">
        <v>0</v>
      </c>
      <c r="D82">
        <v>0</v>
      </c>
      <c r="E82">
        <v>0</v>
      </c>
      <c r="F82">
        <v>0</v>
      </c>
      <c r="G82">
        <v>1</v>
      </c>
      <c r="H82">
        <f t="shared" si="11"/>
        <v>2</v>
      </c>
      <c r="I82">
        <f t="shared" si="12"/>
        <v>500</v>
      </c>
      <c r="J82">
        <f t="shared" si="13"/>
        <v>2.6989700043360187</v>
      </c>
      <c r="K82">
        <f t="shared" si="14"/>
        <v>2.6989700043360187</v>
      </c>
      <c r="L82">
        <f t="shared" si="15"/>
        <v>0</v>
      </c>
      <c r="M82">
        <f t="shared" si="16"/>
        <v>0</v>
      </c>
      <c r="N82">
        <f t="shared" si="17"/>
        <v>0</v>
      </c>
      <c r="O82">
        <f t="shared" si="18"/>
        <v>0</v>
      </c>
      <c r="P82">
        <f t="shared" si="19"/>
        <v>2.6989700043360187</v>
      </c>
    </row>
    <row r="83" spans="1:16" x14ac:dyDescent="0.25">
      <c r="A83" s="3" t="s">
        <v>24</v>
      </c>
      <c r="B83">
        <v>0</v>
      </c>
      <c r="C83">
        <v>1</v>
      </c>
      <c r="D83">
        <v>0</v>
      </c>
      <c r="E83">
        <v>0</v>
      </c>
      <c r="F83">
        <v>0</v>
      </c>
      <c r="G83">
        <v>0</v>
      </c>
      <c r="H83">
        <f t="shared" si="11"/>
        <v>1</v>
      </c>
      <c r="I83">
        <f t="shared" si="12"/>
        <v>1000</v>
      </c>
      <c r="J83">
        <f t="shared" si="13"/>
        <v>3</v>
      </c>
      <c r="K83">
        <f t="shared" si="14"/>
        <v>0</v>
      </c>
      <c r="L83">
        <f t="shared" si="15"/>
        <v>3</v>
      </c>
      <c r="M83">
        <f t="shared" si="16"/>
        <v>0</v>
      </c>
      <c r="N83">
        <f t="shared" si="17"/>
        <v>0</v>
      </c>
      <c r="O83">
        <f t="shared" si="18"/>
        <v>0</v>
      </c>
      <c r="P83">
        <f t="shared" si="19"/>
        <v>0</v>
      </c>
    </row>
    <row r="84" spans="1:16" x14ac:dyDescent="0.25">
      <c r="A84" s="3" t="s">
        <v>25</v>
      </c>
      <c r="B84">
        <v>0</v>
      </c>
      <c r="C84">
        <v>1</v>
      </c>
      <c r="D84">
        <v>0</v>
      </c>
      <c r="E84">
        <v>0</v>
      </c>
      <c r="F84">
        <v>0</v>
      </c>
      <c r="G84">
        <v>0</v>
      </c>
      <c r="H84">
        <f t="shared" si="11"/>
        <v>1</v>
      </c>
      <c r="I84">
        <f t="shared" si="12"/>
        <v>1000</v>
      </c>
      <c r="J84">
        <f t="shared" si="13"/>
        <v>3</v>
      </c>
      <c r="K84">
        <f t="shared" si="14"/>
        <v>0</v>
      </c>
      <c r="L84">
        <f t="shared" si="15"/>
        <v>3</v>
      </c>
      <c r="M84">
        <f t="shared" si="16"/>
        <v>0</v>
      </c>
      <c r="N84">
        <f t="shared" si="17"/>
        <v>0</v>
      </c>
      <c r="O84">
        <f t="shared" si="18"/>
        <v>0</v>
      </c>
      <c r="P84">
        <f t="shared" si="19"/>
        <v>0</v>
      </c>
    </row>
    <row r="85" spans="1:16" x14ac:dyDescent="0.25">
      <c r="A85" s="3" t="s">
        <v>26</v>
      </c>
      <c r="B85">
        <v>0</v>
      </c>
      <c r="C85">
        <v>1</v>
      </c>
      <c r="D85">
        <v>0</v>
      </c>
      <c r="E85">
        <v>0</v>
      </c>
      <c r="F85">
        <v>0</v>
      </c>
      <c r="G85">
        <v>0</v>
      </c>
      <c r="H85">
        <f t="shared" si="11"/>
        <v>1</v>
      </c>
      <c r="I85">
        <f t="shared" si="12"/>
        <v>1000</v>
      </c>
      <c r="J85">
        <f t="shared" si="13"/>
        <v>3</v>
      </c>
      <c r="K85">
        <f t="shared" si="14"/>
        <v>0</v>
      </c>
      <c r="L85">
        <f t="shared" si="15"/>
        <v>3</v>
      </c>
      <c r="M85">
        <f t="shared" si="16"/>
        <v>0</v>
      </c>
      <c r="N85">
        <f t="shared" si="17"/>
        <v>0</v>
      </c>
      <c r="O85">
        <f t="shared" si="18"/>
        <v>0</v>
      </c>
      <c r="P85">
        <f t="shared" si="19"/>
        <v>0</v>
      </c>
    </row>
    <row r="86" spans="1:16" x14ac:dyDescent="0.25">
      <c r="A86" s="3" t="s">
        <v>27</v>
      </c>
      <c r="B86">
        <v>0</v>
      </c>
      <c r="C86">
        <v>0</v>
      </c>
      <c r="D86">
        <v>1</v>
      </c>
      <c r="E86">
        <v>0</v>
      </c>
      <c r="F86">
        <v>0</v>
      </c>
      <c r="G86">
        <v>0</v>
      </c>
      <c r="H86">
        <f t="shared" si="11"/>
        <v>1</v>
      </c>
      <c r="I86">
        <f t="shared" si="12"/>
        <v>1000</v>
      </c>
      <c r="J86">
        <f t="shared" si="13"/>
        <v>3</v>
      </c>
      <c r="K86">
        <f t="shared" si="14"/>
        <v>0</v>
      </c>
      <c r="L86">
        <f t="shared" si="15"/>
        <v>0</v>
      </c>
      <c r="M86">
        <f t="shared" si="16"/>
        <v>3</v>
      </c>
      <c r="N86">
        <f t="shared" si="17"/>
        <v>0</v>
      </c>
      <c r="O86">
        <f t="shared" si="18"/>
        <v>0</v>
      </c>
      <c r="P86">
        <f t="shared" si="19"/>
        <v>0</v>
      </c>
    </row>
    <row r="87" spans="1:16" x14ac:dyDescent="0.25">
      <c r="A87" s="3" t="s">
        <v>28</v>
      </c>
      <c r="B87">
        <v>0</v>
      </c>
      <c r="C87">
        <v>0</v>
      </c>
      <c r="D87">
        <v>1</v>
      </c>
      <c r="E87">
        <v>0</v>
      </c>
      <c r="F87">
        <v>0</v>
      </c>
      <c r="G87">
        <v>0</v>
      </c>
      <c r="H87">
        <f t="shared" si="11"/>
        <v>1</v>
      </c>
      <c r="I87">
        <f t="shared" si="12"/>
        <v>1000</v>
      </c>
      <c r="J87">
        <f t="shared" si="13"/>
        <v>3</v>
      </c>
      <c r="K87">
        <f t="shared" si="14"/>
        <v>0</v>
      </c>
      <c r="L87">
        <f t="shared" si="15"/>
        <v>0</v>
      </c>
      <c r="M87">
        <f t="shared" si="16"/>
        <v>3</v>
      </c>
      <c r="N87">
        <f t="shared" si="17"/>
        <v>0</v>
      </c>
      <c r="O87">
        <f t="shared" si="18"/>
        <v>0</v>
      </c>
      <c r="P87">
        <f t="shared" si="19"/>
        <v>0</v>
      </c>
    </row>
    <row r="88" spans="1:16" x14ac:dyDescent="0.25">
      <c r="A88" s="3" t="s">
        <v>29</v>
      </c>
      <c r="B88">
        <v>0</v>
      </c>
      <c r="C88">
        <v>0</v>
      </c>
      <c r="D88">
        <v>0</v>
      </c>
      <c r="E88">
        <v>1</v>
      </c>
      <c r="F88">
        <v>0</v>
      </c>
      <c r="G88">
        <v>0</v>
      </c>
      <c r="H88">
        <f t="shared" si="11"/>
        <v>1</v>
      </c>
      <c r="I88">
        <f t="shared" si="12"/>
        <v>1000</v>
      </c>
      <c r="J88">
        <f t="shared" si="13"/>
        <v>3</v>
      </c>
      <c r="K88">
        <f t="shared" si="14"/>
        <v>0</v>
      </c>
      <c r="L88">
        <f t="shared" si="15"/>
        <v>0</v>
      </c>
      <c r="M88">
        <f t="shared" si="16"/>
        <v>0</v>
      </c>
      <c r="N88">
        <f>J88*E88</f>
        <v>3</v>
      </c>
      <c r="O88">
        <f t="shared" si="18"/>
        <v>0</v>
      </c>
      <c r="P88">
        <f t="shared" si="19"/>
        <v>0</v>
      </c>
    </row>
    <row r="89" spans="1:16" x14ac:dyDescent="0.25">
      <c r="A89" s="3" t="s">
        <v>30</v>
      </c>
      <c r="B89">
        <v>0</v>
      </c>
      <c r="C89">
        <v>0</v>
      </c>
      <c r="D89">
        <v>0</v>
      </c>
      <c r="E89">
        <v>1</v>
      </c>
      <c r="F89">
        <v>0</v>
      </c>
      <c r="G89">
        <v>0</v>
      </c>
      <c r="H89">
        <f t="shared" si="11"/>
        <v>1</v>
      </c>
      <c r="I89">
        <f t="shared" si="12"/>
        <v>1000</v>
      </c>
      <c r="J89">
        <f t="shared" si="13"/>
        <v>3</v>
      </c>
      <c r="K89">
        <f t="shared" si="14"/>
        <v>0</v>
      </c>
      <c r="L89">
        <f t="shared" si="15"/>
        <v>0</v>
      </c>
      <c r="M89">
        <f t="shared" si="16"/>
        <v>0</v>
      </c>
      <c r="N89">
        <f t="shared" ref="N89:N95" si="20">J89*E89</f>
        <v>3</v>
      </c>
      <c r="O89">
        <f t="shared" si="18"/>
        <v>0</v>
      </c>
      <c r="P89">
        <f t="shared" si="19"/>
        <v>0</v>
      </c>
    </row>
    <row r="90" spans="1:16" x14ac:dyDescent="0.25">
      <c r="A90" s="3" t="s">
        <v>31</v>
      </c>
      <c r="B90">
        <v>0</v>
      </c>
      <c r="C90">
        <v>0</v>
      </c>
      <c r="D90">
        <v>0</v>
      </c>
      <c r="E90">
        <v>0</v>
      </c>
      <c r="F90">
        <v>1</v>
      </c>
      <c r="G90">
        <v>0</v>
      </c>
      <c r="H90">
        <f t="shared" si="11"/>
        <v>1</v>
      </c>
      <c r="I90">
        <f t="shared" si="12"/>
        <v>1000</v>
      </c>
      <c r="J90">
        <f t="shared" si="13"/>
        <v>3</v>
      </c>
      <c r="K90">
        <f t="shared" si="14"/>
        <v>0</v>
      </c>
      <c r="L90">
        <f t="shared" si="15"/>
        <v>0</v>
      </c>
      <c r="M90">
        <f t="shared" si="16"/>
        <v>0</v>
      </c>
      <c r="N90">
        <f t="shared" si="20"/>
        <v>0</v>
      </c>
      <c r="O90">
        <f t="shared" si="18"/>
        <v>3</v>
      </c>
      <c r="P90">
        <f t="shared" si="19"/>
        <v>0</v>
      </c>
    </row>
    <row r="91" spans="1:16" x14ac:dyDescent="0.25">
      <c r="A91" s="3" t="s">
        <v>32</v>
      </c>
      <c r="B91">
        <v>0</v>
      </c>
      <c r="C91">
        <v>0</v>
      </c>
      <c r="D91">
        <v>0</v>
      </c>
      <c r="E91">
        <v>0</v>
      </c>
      <c r="F91">
        <v>1</v>
      </c>
      <c r="G91">
        <v>0</v>
      </c>
      <c r="H91">
        <f t="shared" si="11"/>
        <v>1</v>
      </c>
      <c r="I91">
        <f t="shared" si="12"/>
        <v>1000</v>
      </c>
      <c r="J91">
        <f t="shared" si="13"/>
        <v>3</v>
      </c>
      <c r="K91">
        <f t="shared" si="14"/>
        <v>0</v>
      </c>
      <c r="L91">
        <f t="shared" si="15"/>
        <v>0</v>
      </c>
      <c r="M91">
        <f t="shared" si="16"/>
        <v>0</v>
      </c>
      <c r="N91">
        <f t="shared" si="20"/>
        <v>0</v>
      </c>
      <c r="O91">
        <f t="shared" si="18"/>
        <v>3</v>
      </c>
      <c r="P91">
        <f t="shared" si="19"/>
        <v>0</v>
      </c>
    </row>
    <row r="92" spans="1:16" x14ac:dyDescent="0.25">
      <c r="A92" s="3" t="s">
        <v>33</v>
      </c>
      <c r="B92">
        <v>0</v>
      </c>
      <c r="C92">
        <v>0</v>
      </c>
      <c r="D92">
        <v>0</v>
      </c>
      <c r="E92">
        <v>0</v>
      </c>
      <c r="F92">
        <v>1</v>
      </c>
      <c r="G92">
        <v>0</v>
      </c>
      <c r="H92">
        <f t="shared" si="11"/>
        <v>1</v>
      </c>
      <c r="I92">
        <f t="shared" si="12"/>
        <v>1000</v>
      </c>
      <c r="J92">
        <f t="shared" si="13"/>
        <v>3</v>
      </c>
      <c r="K92">
        <f t="shared" si="14"/>
        <v>0</v>
      </c>
      <c r="L92">
        <f t="shared" si="15"/>
        <v>0</v>
      </c>
      <c r="M92">
        <f t="shared" si="16"/>
        <v>0</v>
      </c>
      <c r="N92">
        <f t="shared" si="20"/>
        <v>0</v>
      </c>
      <c r="O92">
        <f t="shared" si="18"/>
        <v>3</v>
      </c>
      <c r="P92">
        <f t="shared" si="19"/>
        <v>0</v>
      </c>
    </row>
    <row r="93" spans="1:16" x14ac:dyDescent="0.25">
      <c r="A93" s="3" t="s">
        <v>34</v>
      </c>
      <c r="B93">
        <v>0</v>
      </c>
      <c r="C93">
        <v>0</v>
      </c>
      <c r="D93">
        <v>0</v>
      </c>
      <c r="E93">
        <v>0</v>
      </c>
      <c r="F93">
        <v>0</v>
      </c>
      <c r="G93">
        <v>1</v>
      </c>
      <c r="H93">
        <f t="shared" si="11"/>
        <v>1</v>
      </c>
      <c r="I93">
        <f t="shared" si="12"/>
        <v>1000</v>
      </c>
      <c r="J93">
        <f t="shared" si="13"/>
        <v>3</v>
      </c>
      <c r="K93">
        <f t="shared" si="14"/>
        <v>0</v>
      </c>
      <c r="L93">
        <f t="shared" si="15"/>
        <v>0</v>
      </c>
      <c r="M93">
        <f t="shared" si="16"/>
        <v>0</v>
      </c>
      <c r="N93">
        <f t="shared" si="20"/>
        <v>0</v>
      </c>
      <c r="O93">
        <f t="shared" si="18"/>
        <v>0</v>
      </c>
      <c r="P93">
        <f t="shared" si="19"/>
        <v>3</v>
      </c>
    </row>
    <row r="94" spans="1:16" x14ac:dyDescent="0.25">
      <c r="A94" s="3" t="s">
        <v>35</v>
      </c>
      <c r="B94">
        <v>0</v>
      </c>
      <c r="C94">
        <v>0</v>
      </c>
      <c r="D94">
        <v>0</v>
      </c>
      <c r="E94">
        <v>0</v>
      </c>
      <c r="F94">
        <v>0</v>
      </c>
      <c r="G94">
        <v>1</v>
      </c>
      <c r="H94">
        <f t="shared" si="11"/>
        <v>1</v>
      </c>
      <c r="I94">
        <f t="shared" si="12"/>
        <v>1000</v>
      </c>
      <c r="J94">
        <f t="shared" si="13"/>
        <v>3</v>
      </c>
      <c r="K94">
        <f t="shared" si="14"/>
        <v>0</v>
      </c>
      <c r="L94">
        <f t="shared" si="15"/>
        <v>0</v>
      </c>
      <c r="M94">
        <f t="shared" si="16"/>
        <v>0</v>
      </c>
      <c r="N94">
        <f t="shared" si="20"/>
        <v>0</v>
      </c>
      <c r="O94">
        <f t="shared" si="18"/>
        <v>0</v>
      </c>
      <c r="P94">
        <f t="shared" si="19"/>
        <v>3</v>
      </c>
    </row>
    <row r="95" spans="1:16" x14ac:dyDescent="0.25">
      <c r="A95" s="3" t="s">
        <v>36</v>
      </c>
      <c r="B95">
        <v>0</v>
      </c>
      <c r="C95">
        <v>0</v>
      </c>
      <c r="D95">
        <v>0</v>
      </c>
      <c r="E95">
        <v>0</v>
      </c>
      <c r="F95">
        <v>0</v>
      </c>
      <c r="G95">
        <v>1</v>
      </c>
      <c r="H95">
        <f t="shared" si="11"/>
        <v>1</v>
      </c>
      <c r="I95">
        <f t="shared" si="12"/>
        <v>1000</v>
      </c>
      <c r="J95">
        <f t="shared" si="13"/>
        <v>3</v>
      </c>
      <c r="K95">
        <f t="shared" si="14"/>
        <v>0</v>
      </c>
      <c r="L95">
        <f t="shared" si="15"/>
        <v>0</v>
      </c>
      <c r="M95">
        <f t="shared" si="16"/>
        <v>0</v>
      </c>
      <c r="N95">
        <f t="shared" si="20"/>
        <v>0</v>
      </c>
      <c r="O95">
        <f t="shared" si="18"/>
        <v>0</v>
      </c>
      <c r="P95">
        <f t="shared" si="19"/>
        <v>3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A4CB4-D24E-4DDE-B5A4-9C3889472E86}">
  <dimension ref="A3:T75"/>
  <sheetViews>
    <sheetView topLeftCell="A25" workbookViewId="0">
      <selection activeCell="H37" sqref="H37"/>
    </sheetView>
  </sheetViews>
  <sheetFormatPr defaultRowHeight="15" x14ac:dyDescent="0.25"/>
  <cols>
    <col min="1" max="1" width="12" customWidth="1"/>
    <col min="2" max="2" width="11.85546875" customWidth="1"/>
    <col min="3" max="3" width="14.5703125" customWidth="1"/>
    <col min="4" max="4" width="11.7109375" customWidth="1"/>
    <col min="18" max="18" width="12.42578125" customWidth="1"/>
    <col min="20" max="20" width="12.85546875" customWidth="1"/>
  </cols>
  <sheetData>
    <row r="3" spans="1:12" x14ac:dyDescent="0.25">
      <c r="A3" t="s">
        <v>0</v>
      </c>
    </row>
    <row r="5" spans="1:12" x14ac:dyDescent="0.25">
      <c r="A5" s="3" t="s">
        <v>15</v>
      </c>
    </row>
    <row r="6" spans="1:12" x14ac:dyDescent="0.25">
      <c r="A6" s="3" t="s">
        <v>8</v>
      </c>
      <c r="B6" s="3" t="s">
        <v>7</v>
      </c>
      <c r="C6" s="3"/>
      <c r="D6" s="3"/>
    </row>
    <row r="7" spans="1:12" ht="15.75" x14ac:dyDescent="0.25">
      <c r="A7" t="s">
        <v>1</v>
      </c>
      <c r="B7" s="1" t="s">
        <v>45</v>
      </c>
    </row>
    <row r="8" spans="1:12" ht="15.75" x14ac:dyDescent="0.25">
      <c r="A8" t="s">
        <v>2</v>
      </c>
      <c r="B8" s="2" t="s">
        <v>46</v>
      </c>
      <c r="I8" s="3"/>
    </row>
    <row r="9" spans="1:12" ht="15.75" x14ac:dyDescent="0.25">
      <c r="A9" t="s">
        <v>3</v>
      </c>
      <c r="B9" s="2" t="s">
        <v>47</v>
      </c>
      <c r="I9" s="3"/>
      <c r="J9" s="3"/>
      <c r="K9" s="3"/>
      <c r="L9" s="3"/>
    </row>
    <row r="10" spans="1:12" ht="15.75" x14ac:dyDescent="0.25">
      <c r="B10" s="2"/>
      <c r="J10" s="1"/>
    </row>
    <row r="11" spans="1:12" ht="15.75" x14ac:dyDescent="0.25">
      <c r="B11" s="2"/>
      <c r="J11" s="2"/>
    </row>
    <row r="12" spans="1:12" ht="15.75" x14ac:dyDescent="0.25">
      <c r="B12" s="1"/>
      <c r="J12" s="2"/>
    </row>
    <row r="13" spans="1:12" ht="15.75" x14ac:dyDescent="0.25">
      <c r="J13" s="2"/>
    </row>
    <row r="14" spans="1:12" ht="15.75" x14ac:dyDescent="0.25">
      <c r="J14" s="2"/>
    </row>
    <row r="15" spans="1:12" ht="15.75" x14ac:dyDescent="0.25">
      <c r="A15" s="3" t="s">
        <v>16</v>
      </c>
      <c r="J15" s="1"/>
    </row>
    <row r="16" spans="1:12" x14ac:dyDescent="0.25">
      <c r="A16" s="3" t="s">
        <v>17</v>
      </c>
      <c r="B16" s="3" t="s">
        <v>1</v>
      </c>
      <c r="C16" s="3" t="s">
        <v>2</v>
      </c>
      <c r="D16" s="3" t="s">
        <v>3</v>
      </c>
      <c r="E16" s="3" t="s">
        <v>41</v>
      </c>
      <c r="F16" s="3"/>
      <c r="G16" s="3"/>
      <c r="H16" s="3"/>
    </row>
    <row r="17" spans="1:11" x14ac:dyDescent="0.25">
      <c r="A17" s="3" t="s">
        <v>48</v>
      </c>
      <c r="B17">
        <v>1</v>
      </c>
      <c r="C17">
        <v>1</v>
      </c>
      <c r="D17">
        <v>0</v>
      </c>
      <c r="E17">
        <f>SUM(B17:D17)</f>
        <v>2</v>
      </c>
    </row>
    <row r="18" spans="1:11" x14ac:dyDescent="0.25">
      <c r="A18" s="3" t="s">
        <v>49</v>
      </c>
      <c r="B18">
        <v>1</v>
      </c>
      <c r="C18">
        <v>0</v>
      </c>
      <c r="D18">
        <v>0</v>
      </c>
      <c r="E18">
        <f t="shared" ref="E18:E25" si="0">SUM(B18:D18)</f>
        <v>1</v>
      </c>
    </row>
    <row r="19" spans="1:11" x14ac:dyDescent="0.25">
      <c r="A19" s="3" t="s">
        <v>50</v>
      </c>
      <c r="B19">
        <v>1</v>
      </c>
      <c r="C19">
        <v>1</v>
      </c>
      <c r="D19">
        <v>0</v>
      </c>
      <c r="E19">
        <f t="shared" si="0"/>
        <v>2</v>
      </c>
    </row>
    <row r="20" spans="1:11" x14ac:dyDescent="0.25">
      <c r="A20" s="3" t="s">
        <v>51</v>
      </c>
      <c r="B20">
        <v>1</v>
      </c>
      <c r="C20">
        <v>1</v>
      </c>
      <c r="D20">
        <v>0</v>
      </c>
      <c r="E20">
        <f t="shared" si="0"/>
        <v>2</v>
      </c>
    </row>
    <row r="21" spans="1:11" x14ac:dyDescent="0.25">
      <c r="A21" s="3" t="s">
        <v>52</v>
      </c>
      <c r="B21">
        <v>0</v>
      </c>
      <c r="C21">
        <v>1</v>
      </c>
      <c r="D21">
        <v>0</v>
      </c>
      <c r="E21">
        <f t="shared" si="0"/>
        <v>1</v>
      </c>
    </row>
    <row r="22" spans="1:11" x14ac:dyDescent="0.25">
      <c r="A22" s="3" t="s">
        <v>53</v>
      </c>
      <c r="B22">
        <v>0</v>
      </c>
      <c r="C22">
        <v>0</v>
      </c>
      <c r="D22">
        <v>1</v>
      </c>
      <c r="E22">
        <f t="shared" si="0"/>
        <v>1</v>
      </c>
    </row>
    <row r="23" spans="1:11" x14ac:dyDescent="0.25">
      <c r="A23" s="3" t="s">
        <v>54</v>
      </c>
      <c r="B23">
        <v>0</v>
      </c>
      <c r="C23">
        <v>0</v>
      </c>
      <c r="D23">
        <v>1</v>
      </c>
      <c r="E23">
        <f t="shared" si="0"/>
        <v>1</v>
      </c>
    </row>
    <row r="24" spans="1:11" x14ac:dyDescent="0.25">
      <c r="A24" s="3" t="s">
        <v>55</v>
      </c>
      <c r="B24">
        <v>0</v>
      </c>
      <c r="C24">
        <v>0</v>
      </c>
      <c r="D24">
        <v>1</v>
      </c>
      <c r="E24">
        <f t="shared" si="0"/>
        <v>1</v>
      </c>
    </row>
    <row r="25" spans="1:11" x14ac:dyDescent="0.25">
      <c r="A25" s="3" t="s">
        <v>56</v>
      </c>
      <c r="B25">
        <v>0</v>
      </c>
      <c r="C25">
        <v>0</v>
      </c>
      <c r="D25">
        <v>1</v>
      </c>
      <c r="E25">
        <f t="shared" si="0"/>
        <v>1</v>
      </c>
    </row>
    <row r="26" spans="1:11" x14ac:dyDescent="0.25">
      <c r="A26" s="3" t="s">
        <v>41</v>
      </c>
      <c r="B26">
        <f>SUM(B17:B25)</f>
        <v>4</v>
      </c>
      <c r="C26">
        <f t="shared" ref="C26:D26" si="1">SUM(C17:C25)</f>
        <v>4</v>
      </c>
      <c r="D26">
        <f t="shared" si="1"/>
        <v>4</v>
      </c>
      <c r="E26">
        <f>SUM(B26:D26)</f>
        <v>12</v>
      </c>
    </row>
    <row r="29" spans="1:11" x14ac:dyDescent="0.25">
      <c r="A29" s="3" t="s">
        <v>37</v>
      </c>
    </row>
    <row r="30" spans="1:11" s="3" customFormat="1" x14ac:dyDescent="0.25">
      <c r="A30" s="3" t="s">
        <v>17</v>
      </c>
      <c r="B30" s="3" t="s">
        <v>48</v>
      </c>
      <c r="C30" s="3" t="s">
        <v>49</v>
      </c>
      <c r="D30" s="3" t="s">
        <v>50</v>
      </c>
      <c r="E30" s="3" t="s">
        <v>51</v>
      </c>
      <c r="F30" s="3" t="s">
        <v>52</v>
      </c>
      <c r="G30" s="3" t="s">
        <v>53</v>
      </c>
      <c r="H30" s="3" t="s">
        <v>54</v>
      </c>
      <c r="I30" s="3" t="s">
        <v>55</v>
      </c>
      <c r="J30" s="3" t="s">
        <v>56</v>
      </c>
      <c r="K30" s="3" t="s">
        <v>41</v>
      </c>
    </row>
    <row r="31" spans="1:11" x14ac:dyDescent="0.25">
      <c r="A31" s="3" t="s">
        <v>1</v>
      </c>
      <c r="B31">
        <v>1</v>
      </c>
      <c r="C31">
        <v>1</v>
      </c>
      <c r="D31">
        <v>1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f>SUM(B31:J31)</f>
        <v>4</v>
      </c>
    </row>
    <row r="32" spans="1:11" x14ac:dyDescent="0.25">
      <c r="A32" s="3" t="s">
        <v>2</v>
      </c>
      <c r="B32">
        <v>1</v>
      </c>
      <c r="C32">
        <v>0</v>
      </c>
      <c r="D32">
        <v>1</v>
      </c>
      <c r="E32">
        <v>1</v>
      </c>
      <c r="F32">
        <v>1</v>
      </c>
      <c r="G32">
        <v>0</v>
      </c>
      <c r="H32">
        <v>0</v>
      </c>
      <c r="I32">
        <v>0</v>
      </c>
      <c r="J32">
        <v>0</v>
      </c>
      <c r="K32">
        <f>SUM(B32:J32)</f>
        <v>4</v>
      </c>
    </row>
    <row r="33" spans="1:20" x14ac:dyDescent="0.25">
      <c r="A33" s="3" t="s">
        <v>3</v>
      </c>
      <c r="B33">
        <v>0</v>
      </c>
      <c r="C33">
        <v>0</v>
      </c>
      <c r="D33">
        <v>0</v>
      </c>
      <c r="E33">
        <v>0</v>
      </c>
      <c r="F33">
        <v>0</v>
      </c>
      <c r="G33">
        <v>1</v>
      </c>
      <c r="H33">
        <v>1</v>
      </c>
      <c r="I33">
        <v>1</v>
      </c>
      <c r="J33">
        <v>1</v>
      </c>
      <c r="K33">
        <f>SUM(B33:J33)</f>
        <v>4</v>
      </c>
    </row>
    <row r="34" spans="1:20" x14ac:dyDescent="0.25">
      <c r="A34" s="3"/>
    </row>
    <row r="36" spans="1:20" x14ac:dyDescent="0.25">
      <c r="A36" s="3" t="s">
        <v>38</v>
      </c>
    </row>
    <row r="37" spans="1:20" x14ac:dyDescent="0.25">
      <c r="A37" s="3" t="s">
        <v>39</v>
      </c>
      <c r="B37" s="3"/>
      <c r="C37" s="3"/>
      <c r="D37" s="3"/>
      <c r="E37" s="3"/>
      <c r="F37" s="3"/>
      <c r="G37" s="3"/>
      <c r="H37" s="3" t="s">
        <v>43</v>
      </c>
      <c r="I37" s="3"/>
      <c r="J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3" t="s">
        <v>17</v>
      </c>
      <c r="B38" s="3" t="s">
        <v>1</v>
      </c>
      <c r="C38" s="3" t="s">
        <v>2</v>
      </c>
      <c r="D38" s="3" t="s">
        <v>3</v>
      </c>
      <c r="E38" s="3" t="s">
        <v>41</v>
      </c>
      <c r="F38" s="3" t="s">
        <v>40</v>
      </c>
      <c r="G38" s="3" t="s">
        <v>42</v>
      </c>
      <c r="H38" s="3" t="s">
        <v>1</v>
      </c>
      <c r="I38" s="3" t="s">
        <v>2</v>
      </c>
      <c r="J38" s="3" t="s">
        <v>3</v>
      </c>
      <c r="K38" s="3"/>
      <c r="L38" s="3"/>
      <c r="M38" s="3"/>
    </row>
    <row r="39" spans="1:20" x14ac:dyDescent="0.25">
      <c r="A39" s="3" t="s">
        <v>48</v>
      </c>
      <c r="B39">
        <v>1</v>
      </c>
      <c r="C39">
        <v>1</v>
      </c>
      <c r="D39">
        <v>0</v>
      </c>
      <c r="E39">
        <f>SUM(B39:D39)</f>
        <v>2</v>
      </c>
      <c r="F39">
        <f>1000/E39</f>
        <v>500</v>
      </c>
      <c r="G39">
        <f>LOG(F39)</f>
        <v>2.6989700043360187</v>
      </c>
      <c r="H39">
        <f>G39*B39</f>
        <v>2.6989700043360187</v>
      </c>
      <c r="I39">
        <f>G39*C39</f>
        <v>2.6989700043360187</v>
      </c>
      <c r="J39">
        <f>G39*D39</f>
        <v>0</v>
      </c>
    </row>
    <row r="40" spans="1:20" x14ac:dyDescent="0.25">
      <c r="A40" s="3" t="s">
        <v>49</v>
      </c>
      <c r="B40">
        <v>1</v>
      </c>
      <c r="C40">
        <v>0</v>
      </c>
      <c r="D40">
        <v>0</v>
      </c>
      <c r="E40">
        <f>SUM(B40:D40)</f>
        <v>1</v>
      </c>
      <c r="F40">
        <f t="shared" ref="F40:F49" si="2">1000/E40</f>
        <v>1000</v>
      </c>
      <c r="G40">
        <f t="shared" ref="G40:G49" si="3">LOG(F40)</f>
        <v>3</v>
      </c>
      <c r="H40">
        <f>G40*B40</f>
        <v>3</v>
      </c>
      <c r="I40">
        <f>G40*C40</f>
        <v>0</v>
      </c>
      <c r="J40">
        <f>G40*D40</f>
        <v>0</v>
      </c>
    </row>
    <row r="41" spans="1:20" x14ac:dyDescent="0.25">
      <c r="A41" s="3" t="s">
        <v>50</v>
      </c>
      <c r="B41">
        <v>1</v>
      </c>
      <c r="C41">
        <v>1</v>
      </c>
      <c r="D41">
        <v>0</v>
      </c>
      <c r="E41">
        <f>SUM(B41:D41)</f>
        <v>2</v>
      </c>
      <c r="F41">
        <f t="shared" si="2"/>
        <v>500</v>
      </c>
      <c r="G41">
        <f t="shared" si="3"/>
        <v>2.6989700043360187</v>
      </c>
      <c r="H41">
        <f>G41*B41</f>
        <v>2.6989700043360187</v>
      </c>
      <c r="I41">
        <f>G41*C41</f>
        <v>2.6989700043360187</v>
      </c>
      <c r="J41">
        <f>G41*D41</f>
        <v>0</v>
      </c>
    </row>
    <row r="42" spans="1:20" x14ac:dyDescent="0.25">
      <c r="A42" s="3" t="s">
        <v>51</v>
      </c>
      <c r="B42">
        <v>1</v>
      </c>
      <c r="C42">
        <v>1</v>
      </c>
      <c r="D42">
        <v>0</v>
      </c>
      <c r="E42">
        <f>SUM(B42:D42)</f>
        <v>2</v>
      </c>
      <c r="F42">
        <f t="shared" si="2"/>
        <v>500</v>
      </c>
      <c r="G42">
        <f t="shared" si="3"/>
        <v>2.6989700043360187</v>
      </c>
      <c r="H42">
        <f>G42*B42</f>
        <v>2.6989700043360187</v>
      </c>
      <c r="I42">
        <f>G42*C42</f>
        <v>2.6989700043360187</v>
      </c>
      <c r="J42">
        <f>G42*D42</f>
        <v>0</v>
      </c>
    </row>
    <row r="43" spans="1:20" x14ac:dyDescent="0.25">
      <c r="A43" s="3" t="s">
        <v>52</v>
      </c>
      <c r="B43">
        <v>0</v>
      </c>
      <c r="C43">
        <v>1</v>
      </c>
      <c r="D43">
        <v>0</v>
      </c>
      <c r="E43">
        <f>SUM(B43:D43)</f>
        <v>1</v>
      </c>
      <c r="F43">
        <f t="shared" si="2"/>
        <v>1000</v>
      </c>
      <c r="G43">
        <f t="shared" si="3"/>
        <v>3</v>
      </c>
      <c r="H43">
        <f>G43*B43</f>
        <v>0</v>
      </c>
      <c r="I43">
        <f>G43*C43</f>
        <v>3</v>
      </c>
      <c r="J43">
        <f>G43*D43</f>
        <v>0</v>
      </c>
    </row>
    <row r="44" spans="1:20" x14ac:dyDescent="0.25">
      <c r="A44" s="3" t="s">
        <v>53</v>
      </c>
      <c r="B44">
        <v>0</v>
      </c>
      <c r="C44">
        <v>0</v>
      </c>
      <c r="D44">
        <v>1</v>
      </c>
      <c r="E44">
        <f>SUM(B44:D44)</f>
        <v>1</v>
      </c>
      <c r="F44">
        <f t="shared" si="2"/>
        <v>1000</v>
      </c>
      <c r="G44">
        <f t="shared" si="3"/>
        <v>3</v>
      </c>
      <c r="H44">
        <f>G44*B44</f>
        <v>0</v>
      </c>
      <c r="I44">
        <f>G44*C44</f>
        <v>0</v>
      </c>
      <c r="J44">
        <f>G44*D44</f>
        <v>3</v>
      </c>
    </row>
    <row r="45" spans="1:20" x14ac:dyDescent="0.25">
      <c r="A45" s="3" t="s">
        <v>54</v>
      </c>
      <c r="B45">
        <v>0</v>
      </c>
      <c r="C45">
        <v>0</v>
      </c>
      <c r="D45">
        <v>1</v>
      </c>
      <c r="E45">
        <f>SUM(B45:D45)</f>
        <v>1</v>
      </c>
      <c r="F45">
        <f t="shared" si="2"/>
        <v>1000</v>
      </c>
      <c r="G45">
        <f t="shared" si="3"/>
        <v>3</v>
      </c>
      <c r="H45">
        <f>G45*B45</f>
        <v>0</v>
      </c>
      <c r="I45">
        <f>G45*C45</f>
        <v>0</v>
      </c>
      <c r="J45">
        <f>G45*D45</f>
        <v>3</v>
      </c>
    </row>
    <row r="46" spans="1:20" x14ac:dyDescent="0.25">
      <c r="A46" s="3" t="s">
        <v>55</v>
      </c>
      <c r="B46">
        <v>0</v>
      </c>
      <c r="C46">
        <v>0</v>
      </c>
      <c r="D46">
        <v>1</v>
      </c>
      <c r="E46">
        <f>SUM(B46:D46)</f>
        <v>1</v>
      </c>
      <c r="F46">
        <f t="shared" si="2"/>
        <v>1000</v>
      </c>
      <c r="G46">
        <f t="shared" si="3"/>
        <v>3</v>
      </c>
      <c r="H46">
        <f>G46*B46</f>
        <v>0</v>
      </c>
      <c r="I46">
        <f>G46*C46</f>
        <v>0</v>
      </c>
      <c r="J46">
        <f>G46*D46</f>
        <v>3</v>
      </c>
    </row>
    <row r="47" spans="1:20" x14ac:dyDescent="0.25">
      <c r="A47" s="3" t="s">
        <v>56</v>
      </c>
      <c r="B47">
        <v>0</v>
      </c>
      <c r="C47">
        <v>0</v>
      </c>
      <c r="D47">
        <v>1</v>
      </c>
      <c r="E47">
        <f>SUM(B47:D47)</f>
        <v>1</v>
      </c>
      <c r="F47">
        <f t="shared" si="2"/>
        <v>1000</v>
      </c>
      <c r="G47">
        <f t="shared" si="3"/>
        <v>3</v>
      </c>
      <c r="H47">
        <f>G47*B47</f>
        <v>0</v>
      </c>
      <c r="I47">
        <f>G47*C47</f>
        <v>0</v>
      </c>
      <c r="J47">
        <f>G47*D47</f>
        <v>3</v>
      </c>
    </row>
    <row r="48" spans="1:20" x14ac:dyDescent="0.25">
      <c r="A48" s="3" t="s">
        <v>41</v>
      </c>
      <c r="B48">
        <f>SUM(B39:B47)</f>
        <v>4</v>
      </c>
      <c r="C48">
        <f t="shared" ref="C48" si="4">SUM(C39:C47)</f>
        <v>4</v>
      </c>
      <c r="D48">
        <f t="shared" ref="D48" si="5">SUM(D39:D47)</f>
        <v>4</v>
      </c>
      <c r="E48">
        <f>SUM(B48:D48)</f>
        <v>12</v>
      </c>
      <c r="F48">
        <f t="shared" si="2"/>
        <v>83.333333333333329</v>
      </c>
      <c r="G48">
        <f t="shared" si="3"/>
        <v>1.9208187539523751</v>
      </c>
      <c r="H48">
        <f>G48*B48</f>
        <v>7.6832750158095005</v>
      </c>
      <c r="I48">
        <f>G48*C48</f>
        <v>7.6832750158095005</v>
      </c>
      <c r="J48">
        <f>G48*D48</f>
        <v>7.6832750158095005</v>
      </c>
    </row>
    <row r="49" spans="1:16" x14ac:dyDescent="0.25">
      <c r="A49" s="3" t="s">
        <v>28</v>
      </c>
      <c r="B49">
        <v>0</v>
      </c>
      <c r="C49">
        <v>0</v>
      </c>
      <c r="D49">
        <v>1</v>
      </c>
      <c r="E49">
        <f>SUM(B49:D49)</f>
        <v>1</v>
      </c>
      <c r="F49">
        <f t="shared" si="2"/>
        <v>1000</v>
      </c>
      <c r="G49">
        <f t="shared" si="3"/>
        <v>3</v>
      </c>
      <c r="H49">
        <f>G49*B49</f>
        <v>0</v>
      </c>
      <c r="I49">
        <f>G49*C49</f>
        <v>0</v>
      </c>
      <c r="J49">
        <f>G49*D49</f>
        <v>3</v>
      </c>
    </row>
    <row r="53" spans="1:16" x14ac:dyDescent="0.25">
      <c r="A53" s="3" t="s">
        <v>38</v>
      </c>
    </row>
    <row r="54" spans="1:16" x14ac:dyDescent="0.25">
      <c r="A54" s="3"/>
      <c r="B54" t="s">
        <v>41</v>
      </c>
    </row>
    <row r="55" spans="1:16" x14ac:dyDescent="0.25">
      <c r="A55" s="3" t="s">
        <v>39</v>
      </c>
      <c r="B55">
        <v>6</v>
      </c>
      <c r="C55">
        <v>4</v>
      </c>
      <c r="D55">
        <v>3</v>
      </c>
      <c r="E55">
        <v>3</v>
      </c>
      <c r="F55">
        <v>6</v>
      </c>
      <c r="G55">
        <v>6</v>
      </c>
      <c r="H55" s="3"/>
      <c r="I55" s="3"/>
      <c r="J55" s="3"/>
      <c r="K55" s="3" t="s">
        <v>43</v>
      </c>
      <c r="L55" s="3"/>
      <c r="M55" s="3"/>
      <c r="N55" s="3"/>
      <c r="O55" s="3"/>
      <c r="P55" s="3"/>
    </row>
    <row r="56" spans="1:16" x14ac:dyDescent="0.25">
      <c r="A56" s="3" t="s">
        <v>17</v>
      </c>
      <c r="B56" s="3" t="s">
        <v>1</v>
      </c>
      <c r="C56" s="3" t="s">
        <v>2</v>
      </c>
      <c r="D56" s="3" t="s">
        <v>3</v>
      </c>
      <c r="E56" s="3" t="s">
        <v>4</v>
      </c>
      <c r="F56" s="3" t="s">
        <v>5</v>
      </c>
      <c r="G56" s="3" t="s">
        <v>6</v>
      </c>
      <c r="H56" s="3" t="s">
        <v>41</v>
      </c>
      <c r="I56" s="3" t="s">
        <v>40</v>
      </c>
      <c r="J56" s="3" t="s">
        <v>42</v>
      </c>
      <c r="K56" s="3" t="s">
        <v>1</v>
      </c>
      <c r="L56" s="3" t="s">
        <v>2</v>
      </c>
      <c r="M56" s="3" t="s">
        <v>3</v>
      </c>
      <c r="N56" s="3" t="s">
        <v>4</v>
      </c>
      <c r="O56" s="3" t="s">
        <v>5</v>
      </c>
      <c r="P56" s="3" t="s">
        <v>6</v>
      </c>
    </row>
    <row r="57" spans="1:16" x14ac:dyDescent="0.25">
      <c r="A57" s="3" t="s">
        <v>18</v>
      </c>
      <c r="B57">
        <v>1</v>
      </c>
      <c r="C57">
        <v>0</v>
      </c>
      <c r="D57">
        <v>0</v>
      </c>
      <c r="E57">
        <v>1</v>
      </c>
      <c r="F57">
        <v>1</v>
      </c>
      <c r="G57">
        <v>1</v>
      </c>
      <c r="H57">
        <f>SUM(B57:G57)</f>
        <v>4</v>
      </c>
      <c r="I57">
        <f>1000/H57</f>
        <v>250</v>
      </c>
      <c r="J57">
        <f>LOG(I57)</f>
        <v>2.3979400086720375</v>
      </c>
      <c r="K57">
        <f>J57*B57</f>
        <v>2.3979400086720375</v>
      </c>
      <c r="L57">
        <f>J57*C57</f>
        <v>0</v>
      </c>
      <c r="M57">
        <f>J57*D57</f>
        <v>0</v>
      </c>
      <c r="N57">
        <f>J57*E57</f>
        <v>2.3979400086720375</v>
      </c>
      <c r="O57">
        <f>J57*F57</f>
        <v>2.3979400086720375</v>
      </c>
      <c r="P57">
        <f>J57*G57</f>
        <v>2.3979400086720375</v>
      </c>
    </row>
    <row r="58" spans="1:16" x14ac:dyDescent="0.25">
      <c r="A58" s="3" t="s">
        <v>19</v>
      </c>
      <c r="B58">
        <v>1</v>
      </c>
      <c r="C58">
        <v>1</v>
      </c>
      <c r="D58">
        <v>1</v>
      </c>
      <c r="E58">
        <v>0</v>
      </c>
      <c r="F58">
        <v>1</v>
      </c>
      <c r="G58">
        <v>0</v>
      </c>
      <c r="H58">
        <f t="shared" ref="H58:H75" si="6">SUM(B58:G58)</f>
        <v>4</v>
      </c>
      <c r="I58">
        <f t="shared" ref="I58:I75" si="7">1000/H58</f>
        <v>250</v>
      </c>
      <c r="J58">
        <f t="shared" ref="J58:J75" si="8">LOG(I58)</f>
        <v>2.3979400086720375</v>
      </c>
      <c r="K58">
        <f t="shared" ref="K58:K75" si="9">J58*B58</f>
        <v>2.3979400086720375</v>
      </c>
      <c r="L58">
        <f t="shared" ref="L58:L75" si="10">J58*C58</f>
        <v>2.3979400086720375</v>
      </c>
      <c r="M58">
        <f t="shared" ref="M58:M75" si="11">J58*D58</f>
        <v>2.3979400086720375</v>
      </c>
      <c r="N58">
        <f t="shared" ref="N58:N75" si="12">J58*E58</f>
        <v>0</v>
      </c>
      <c r="O58">
        <f t="shared" ref="O58:O75" si="13">J58*F58</f>
        <v>2.3979400086720375</v>
      </c>
      <c r="P58">
        <f t="shared" ref="P58:P75" si="14">J58*G58</f>
        <v>0</v>
      </c>
    </row>
    <row r="59" spans="1:16" x14ac:dyDescent="0.25">
      <c r="A59" s="3" t="s">
        <v>20</v>
      </c>
      <c r="B59">
        <v>1</v>
      </c>
      <c r="C59">
        <v>0</v>
      </c>
      <c r="D59">
        <v>0</v>
      </c>
      <c r="E59">
        <v>0</v>
      </c>
      <c r="F59">
        <v>1</v>
      </c>
      <c r="G59">
        <v>0</v>
      </c>
      <c r="H59">
        <f t="shared" si="6"/>
        <v>2</v>
      </c>
      <c r="I59">
        <f t="shared" si="7"/>
        <v>500</v>
      </c>
      <c r="J59">
        <f t="shared" si="8"/>
        <v>2.6989700043360187</v>
      </c>
      <c r="K59">
        <f t="shared" si="9"/>
        <v>2.6989700043360187</v>
      </c>
      <c r="L59">
        <f t="shared" si="10"/>
        <v>0</v>
      </c>
      <c r="M59">
        <f t="shared" si="11"/>
        <v>0</v>
      </c>
      <c r="N59">
        <f t="shared" si="12"/>
        <v>0</v>
      </c>
      <c r="O59">
        <f t="shared" si="13"/>
        <v>2.6989700043360187</v>
      </c>
      <c r="P59">
        <f t="shared" si="14"/>
        <v>0</v>
      </c>
    </row>
    <row r="60" spans="1:16" x14ac:dyDescent="0.25">
      <c r="A60" s="3" t="s">
        <v>21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f t="shared" si="6"/>
        <v>1</v>
      </c>
      <c r="I60">
        <f t="shared" si="7"/>
        <v>1000</v>
      </c>
      <c r="J60">
        <f t="shared" si="8"/>
        <v>3</v>
      </c>
      <c r="K60">
        <f t="shared" si="9"/>
        <v>3</v>
      </c>
      <c r="L60">
        <f t="shared" si="10"/>
        <v>0</v>
      </c>
      <c r="M60">
        <f t="shared" si="11"/>
        <v>0</v>
      </c>
      <c r="N60">
        <f t="shared" si="12"/>
        <v>0</v>
      </c>
      <c r="O60">
        <f t="shared" si="13"/>
        <v>0</v>
      </c>
      <c r="P60">
        <f t="shared" si="14"/>
        <v>0</v>
      </c>
    </row>
    <row r="61" spans="1:16" x14ac:dyDescent="0.25">
      <c r="A61" s="3" t="s">
        <v>22</v>
      </c>
      <c r="B61">
        <v>1</v>
      </c>
      <c r="C61">
        <v>0</v>
      </c>
      <c r="D61">
        <v>0</v>
      </c>
      <c r="E61">
        <v>0</v>
      </c>
      <c r="F61">
        <v>0</v>
      </c>
      <c r="G61">
        <v>1</v>
      </c>
      <c r="H61">
        <f t="shared" si="6"/>
        <v>2</v>
      </c>
      <c r="I61">
        <f t="shared" si="7"/>
        <v>500</v>
      </c>
      <c r="J61">
        <f t="shared" si="8"/>
        <v>2.6989700043360187</v>
      </c>
      <c r="K61">
        <f t="shared" si="9"/>
        <v>2.6989700043360187</v>
      </c>
      <c r="L61">
        <f t="shared" si="10"/>
        <v>0</v>
      </c>
      <c r="M61">
        <f t="shared" si="11"/>
        <v>0</v>
      </c>
      <c r="N61">
        <f t="shared" si="12"/>
        <v>0</v>
      </c>
      <c r="O61">
        <f t="shared" si="13"/>
        <v>0</v>
      </c>
      <c r="P61">
        <f t="shared" si="14"/>
        <v>2.6989700043360187</v>
      </c>
    </row>
    <row r="62" spans="1:16" x14ac:dyDescent="0.25">
      <c r="A62" s="3" t="s">
        <v>23</v>
      </c>
      <c r="B62">
        <v>1</v>
      </c>
      <c r="C62">
        <v>0</v>
      </c>
      <c r="D62">
        <v>0</v>
      </c>
      <c r="E62">
        <v>0</v>
      </c>
      <c r="F62">
        <v>0</v>
      </c>
      <c r="G62">
        <v>1</v>
      </c>
      <c r="H62">
        <f t="shared" si="6"/>
        <v>2</v>
      </c>
      <c r="I62">
        <f t="shared" si="7"/>
        <v>500</v>
      </c>
      <c r="J62">
        <f t="shared" si="8"/>
        <v>2.6989700043360187</v>
      </c>
      <c r="K62">
        <f t="shared" si="9"/>
        <v>2.6989700043360187</v>
      </c>
      <c r="L62">
        <f t="shared" si="10"/>
        <v>0</v>
      </c>
      <c r="M62">
        <f t="shared" si="11"/>
        <v>0</v>
      </c>
      <c r="N62">
        <f t="shared" si="12"/>
        <v>0</v>
      </c>
      <c r="O62">
        <f t="shared" si="13"/>
        <v>0</v>
      </c>
      <c r="P62">
        <f t="shared" si="14"/>
        <v>2.6989700043360187</v>
      </c>
    </row>
    <row r="63" spans="1:16" x14ac:dyDescent="0.25">
      <c r="A63" s="3" t="s">
        <v>24</v>
      </c>
      <c r="B63">
        <v>0</v>
      </c>
      <c r="C63">
        <v>1</v>
      </c>
      <c r="D63">
        <v>0</v>
      </c>
      <c r="E63">
        <v>0</v>
      </c>
      <c r="F63">
        <v>0</v>
      </c>
      <c r="G63">
        <v>0</v>
      </c>
      <c r="H63">
        <f t="shared" si="6"/>
        <v>1</v>
      </c>
      <c r="I63">
        <f t="shared" si="7"/>
        <v>1000</v>
      </c>
      <c r="J63">
        <f t="shared" si="8"/>
        <v>3</v>
      </c>
      <c r="K63">
        <f t="shared" si="9"/>
        <v>0</v>
      </c>
      <c r="L63">
        <f t="shared" si="10"/>
        <v>3</v>
      </c>
      <c r="M63">
        <f t="shared" si="11"/>
        <v>0</v>
      </c>
      <c r="N63">
        <f t="shared" si="12"/>
        <v>0</v>
      </c>
      <c r="O63">
        <f t="shared" si="13"/>
        <v>0</v>
      </c>
      <c r="P63">
        <f t="shared" si="14"/>
        <v>0</v>
      </c>
    </row>
    <row r="64" spans="1:16" x14ac:dyDescent="0.25">
      <c r="A64" s="3" t="s">
        <v>25</v>
      </c>
      <c r="B64">
        <v>0</v>
      </c>
      <c r="C64">
        <v>1</v>
      </c>
      <c r="D64">
        <v>0</v>
      </c>
      <c r="E64">
        <v>0</v>
      </c>
      <c r="F64">
        <v>0</v>
      </c>
      <c r="G64">
        <v>0</v>
      </c>
      <c r="H64">
        <f t="shared" si="6"/>
        <v>1</v>
      </c>
      <c r="I64">
        <f t="shared" si="7"/>
        <v>1000</v>
      </c>
      <c r="J64">
        <f t="shared" si="8"/>
        <v>3</v>
      </c>
      <c r="K64">
        <f t="shared" si="9"/>
        <v>0</v>
      </c>
      <c r="L64">
        <f t="shared" si="10"/>
        <v>3</v>
      </c>
      <c r="M64">
        <f t="shared" si="11"/>
        <v>0</v>
      </c>
      <c r="N64">
        <f t="shared" si="12"/>
        <v>0</v>
      </c>
      <c r="O64">
        <f t="shared" si="13"/>
        <v>0</v>
      </c>
      <c r="P64">
        <f t="shared" si="14"/>
        <v>0</v>
      </c>
    </row>
    <row r="65" spans="1:16" x14ac:dyDescent="0.25">
      <c r="A65" s="3" t="s">
        <v>26</v>
      </c>
      <c r="B65">
        <v>0</v>
      </c>
      <c r="C65">
        <v>1</v>
      </c>
      <c r="D65">
        <v>0</v>
      </c>
      <c r="E65">
        <v>0</v>
      </c>
      <c r="F65">
        <v>0</v>
      </c>
      <c r="G65">
        <v>0</v>
      </c>
      <c r="H65">
        <f t="shared" si="6"/>
        <v>1</v>
      </c>
      <c r="I65">
        <f t="shared" si="7"/>
        <v>1000</v>
      </c>
      <c r="J65">
        <f t="shared" si="8"/>
        <v>3</v>
      </c>
      <c r="K65">
        <f t="shared" si="9"/>
        <v>0</v>
      </c>
      <c r="L65">
        <f t="shared" si="10"/>
        <v>3</v>
      </c>
      <c r="M65">
        <f t="shared" si="11"/>
        <v>0</v>
      </c>
      <c r="N65">
        <f t="shared" si="12"/>
        <v>0</v>
      </c>
      <c r="O65">
        <f t="shared" si="13"/>
        <v>0</v>
      </c>
      <c r="P65">
        <f t="shared" si="14"/>
        <v>0</v>
      </c>
    </row>
    <row r="66" spans="1:16" x14ac:dyDescent="0.25">
      <c r="A66" s="3" t="s">
        <v>27</v>
      </c>
      <c r="B66">
        <v>0</v>
      </c>
      <c r="C66">
        <v>0</v>
      </c>
      <c r="D66">
        <v>1</v>
      </c>
      <c r="E66">
        <v>0</v>
      </c>
      <c r="F66">
        <v>0</v>
      </c>
      <c r="G66">
        <v>0</v>
      </c>
      <c r="H66">
        <f t="shared" si="6"/>
        <v>1</v>
      </c>
      <c r="I66">
        <f t="shared" si="7"/>
        <v>1000</v>
      </c>
      <c r="J66">
        <f t="shared" si="8"/>
        <v>3</v>
      </c>
      <c r="K66">
        <f t="shared" si="9"/>
        <v>0</v>
      </c>
      <c r="L66">
        <f t="shared" si="10"/>
        <v>0</v>
      </c>
      <c r="M66">
        <f t="shared" si="11"/>
        <v>3</v>
      </c>
      <c r="N66">
        <f t="shared" si="12"/>
        <v>0</v>
      </c>
      <c r="O66">
        <f t="shared" si="13"/>
        <v>0</v>
      </c>
      <c r="P66">
        <f t="shared" si="14"/>
        <v>0</v>
      </c>
    </row>
    <row r="67" spans="1:16" x14ac:dyDescent="0.25">
      <c r="A67" s="3" t="s">
        <v>28</v>
      </c>
      <c r="B67">
        <v>0</v>
      </c>
      <c r="C67">
        <v>0</v>
      </c>
      <c r="D67">
        <v>1</v>
      </c>
      <c r="E67">
        <v>0</v>
      </c>
      <c r="F67">
        <v>0</v>
      </c>
      <c r="G67">
        <v>0</v>
      </c>
      <c r="H67">
        <f t="shared" si="6"/>
        <v>1</v>
      </c>
      <c r="I67">
        <f t="shared" si="7"/>
        <v>1000</v>
      </c>
      <c r="J67">
        <f t="shared" si="8"/>
        <v>3</v>
      </c>
      <c r="K67">
        <f t="shared" si="9"/>
        <v>0</v>
      </c>
      <c r="L67">
        <f t="shared" si="10"/>
        <v>0</v>
      </c>
      <c r="M67">
        <f t="shared" si="11"/>
        <v>3</v>
      </c>
      <c r="N67">
        <f t="shared" si="12"/>
        <v>0</v>
      </c>
      <c r="O67">
        <f t="shared" si="13"/>
        <v>0</v>
      </c>
      <c r="P67">
        <f t="shared" si="14"/>
        <v>0</v>
      </c>
    </row>
    <row r="68" spans="1:16" x14ac:dyDescent="0.25">
      <c r="A68" s="3" t="s">
        <v>29</v>
      </c>
      <c r="B68">
        <v>0</v>
      </c>
      <c r="C68">
        <v>0</v>
      </c>
      <c r="D68">
        <v>0</v>
      </c>
      <c r="E68">
        <v>1</v>
      </c>
      <c r="F68">
        <v>0</v>
      </c>
      <c r="G68">
        <v>0</v>
      </c>
      <c r="H68">
        <f t="shared" si="6"/>
        <v>1</v>
      </c>
      <c r="I68">
        <f t="shared" si="7"/>
        <v>1000</v>
      </c>
      <c r="J68">
        <f t="shared" si="8"/>
        <v>3</v>
      </c>
      <c r="K68">
        <f t="shared" si="9"/>
        <v>0</v>
      </c>
      <c r="L68">
        <f t="shared" si="10"/>
        <v>0</v>
      </c>
      <c r="M68">
        <f t="shared" si="11"/>
        <v>0</v>
      </c>
      <c r="N68">
        <f>J68*E68</f>
        <v>3</v>
      </c>
      <c r="O68">
        <f t="shared" si="13"/>
        <v>0</v>
      </c>
      <c r="P68">
        <f t="shared" si="14"/>
        <v>0</v>
      </c>
    </row>
    <row r="69" spans="1:16" x14ac:dyDescent="0.25">
      <c r="A69" s="3" t="s">
        <v>30</v>
      </c>
      <c r="B69">
        <v>0</v>
      </c>
      <c r="C69">
        <v>0</v>
      </c>
      <c r="D69">
        <v>0</v>
      </c>
      <c r="E69">
        <v>1</v>
      </c>
      <c r="F69">
        <v>0</v>
      </c>
      <c r="G69">
        <v>0</v>
      </c>
      <c r="H69">
        <f t="shared" si="6"/>
        <v>1</v>
      </c>
      <c r="I69">
        <f t="shared" si="7"/>
        <v>1000</v>
      </c>
      <c r="J69">
        <f t="shared" si="8"/>
        <v>3</v>
      </c>
      <c r="K69">
        <f t="shared" si="9"/>
        <v>0</v>
      </c>
      <c r="L69">
        <f t="shared" si="10"/>
        <v>0</v>
      </c>
      <c r="M69">
        <f t="shared" si="11"/>
        <v>0</v>
      </c>
      <c r="N69">
        <f t="shared" ref="N69:N75" si="15">J69*E69</f>
        <v>3</v>
      </c>
      <c r="O69">
        <f t="shared" si="13"/>
        <v>0</v>
      </c>
      <c r="P69">
        <f t="shared" si="14"/>
        <v>0</v>
      </c>
    </row>
    <row r="70" spans="1:16" x14ac:dyDescent="0.25">
      <c r="A70" s="3" t="s">
        <v>31</v>
      </c>
      <c r="B70">
        <v>0</v>
      </c>
      <c r="C70">
        <v>0</v>
      </c>
      <c r="D70">
        <v>0</v>
      </c>
      <c r="E70">
        <v>0</v>
      </c>
      <c r="F70">
        <v>1</v>
      </c>
      <c r="G70">
        <v>0</v>
      </c>
      <c r="H70">
        <f t="shared" si="6"/>
        <v>1</v>
      </c>
      <c r="I70">
        <f t="shared" si="7"/>
        <v>1000</v>
      </c>
      <c r="J70">
        <f t="shared" si="8"/>
        <v>3</v>
      </c>
      <c r="K70">
        <f t="shared" si="9"/>
        <v>0</v>
      </c>
      <c r="L70">
        <f t="shared" si="10"/>
        <v>0</v>
      </c>
      <c r="M70">
        <f t="shared" si="11"/>
        <v>0</v>
      </c>
      <c r="N70">
        <f t="shared" si="15"/>
        <v>0</v>
      </c>
      <c r="O70">
        <f t="shared" si="13"/>
        <v>3</v>
      </c>
      <c r="P70">
        <f t="shared" si="14"/>
        <v>0</v>
      </c>
    </row>
    <row r="71" spans="1:16" x14ac:dyDescent="0.25">
      <c r="A71" s="3" t="s">
        <v>32</v>
      </c>
      <c r="B71">
        <v>0</v>
      </c>
      <c r="C71">
        <v>0</v>
      </c>
      <c r="D71">
        <v>0</v>
      </c>
      <c r="E71">
        <v>0</v>
      </c>
      <c r="F71">
        <v>1</v>
      </c>
      <c r="G71">
        <v>0</v>
      </c>
      <c r="H71">
        <f t="shared" si="6"/>
        <v>1</v>
      </c>
      <c r="I71">
        <f t="shared" si="7"/>
        <v>1000</v>
      </c>
      <c r="J71">
        <f t="shared" si="8"/>
        <v>3</v>
      </c>
      <c r="K71">
        <f t="shared" si="9"/>
        <v>0</v>
      </c>
      <c r="L71">
        <f t="shared" si="10"/>
        <v>0</v>
      </c>
      <c r="M71">
        <f t="shared" si="11"/>
        <v>0</v>
      </c>
      <c r="N71">
        <f t="shared" si="15"/>
        <v>0</v>
      </c>
      <c r="O71">
        <f t="shared" si="13"/>
        <v>3</v>
      </c>
      <c r="P71">
        <f t="shared" si="14"/>
        <v>0</v>
      </c>
    </row>
    <row r="72" spans="1:16" x14ac:dyDescent="0.25">
      <c r="A72" s="3" t="s">
        <v>33</v>
      </c>
      <c r="B72">
        <v>0</v>
      </c>
      <c r="C72">
        <v>0</v>
      </c>
      <c r="D72">
        <v>0</v>
      </c>
      <c r="E72">
        <v>0</v>
      </c>
      <c r="F72">
        <v>1</v>
      </c>
      <c r="G72">
        <v>0</v>
      </c>
      <c r="H72">
        <f t="shared" si="6"/>
        <v>1</v>
      </c>
      <c r="I72">
        <f t="shared" si="7"/>
        <v>1000</v>
      </c>
      <c r="J72">
        <f t="shared" si="8"/>
        <v>3</v>
      </c>
      <c r="K72">
        <f t="shared" si="9"/>
        <v>0</v>
      </c>
      <c r="L72">
        <f t="shared" si="10"/>
        <v>0</v>
      </c>
      <c r="M72">
        <f t="shared" si="11"/>
        <v>0</v>
      </c>
      <c r="N72">
        <f t="shared" si="15"/>
        <v>0</v>
      </c>
      <c r="O72">
        <f t="shared" si="13"/>
        <v>3</v>
      </c>
      <c r="P72">
        <f t="shared" si="14"/>
        <v>0</v>
      </c>
    </row>
    <row r="73" spans="1:16" x14ac:dyDescent="0.25">
      <c r="A73" s="3" t="s">
        <v>34</v>
      </c>
      <c r="B73">
        <v>0</v>
      </c>
      <c r="C73">
        <v>0</v>
      </c>
      <c r="D73">
        <v>0</v>
      </c>
      <c r="E73">
        <v>0</v>
      </c>
      <c r="F73">
        <v>0</v>
      </c>
      <c r="G73">
        <v>1</v>
      </c>
      <c r="H73">
        <f t="shared" si="6"/>
        <v>1</v>
      </c>
      <c r="I73">
        <f t="shared" si="7"/>
        <v>1000</v>
      </c>
      <c r="J73">
        <f t="shared" si="8"/>
        <v>3</v>
      </c>
      <c r="K73">
        <f t="shared" si="9"/>
        <v>0</v>
      </c>
      <c r="L73">
        <f t="shared" si="10"/>
        <v>0</v>
      </c>
      <c r="M73">
        <f t="shared" si="11"/>
        <v>0</v>
      </c>
      <c r="N73">
        <f t="shared" si="15"/>
        <v>0</v>
      </c>
      <c r="O73">
        <f t="shared" si="13"/>
        <v>0</v>
      </c>
      <c r="P73">
        <f t="shared" si="14"/>
        <v>3</v>
      </c>
    </row>
    <row r="74" spans="1:16" x14ac:dyDescent="0.25">
      <c r="A74" s="3" t="s">
        <v>35</v>
      </c>
      <c r="B74">
        <v>0</v>
      </c>
      <c r="C74">
        <v>0</v>
      </c>
      <c r="D74">
        <v>0</v>
      </c>
      <c r="E74">
        <v>0</v>
      </c>
      <c r="F74">
        <v>0</v>
      </c>
      <c r="G74">
        <v>1</v>
      </c>
      <c r="H74">
        <f t="shared" si="6"/>
        <v>1</v>
      </c>
      <c r="I74">
        <f t="shared" si="7"/>
        <v>1000</v>
      </c>
      <c r="J74">
        <f t="shared" si="8"/>
        <v>3</v>
      </c>
      <c r="K74">
        <f t="shared" si="9"/>
        <v>0</v>
      </c>
      <c r="L74">
        <f t="shared" si="10"/>
        <v>0</v>
      </c>
      <c r="M74">
        <f t="shared" si="11"/>
        <v>0</v>
      </c>
      <c r="N74">
        <f t="shared" si="15"/>
        <v>0</v>
      </c>
      <c r="O74">
        <f t="shared" si="13"/>
        <v>0</v>
      </c>
      <c r="P74">
        <f t="shared" si="14"/>
        <v>3</v>
      </c>
    </row>
    <row r="75" spans="1:16" x14ac:dyDescent="0.25">
      <c r="A75" s="3" t="s">
        <v>36</v>
      </c>
      <c r="B75">
        <v>0</v>
      </c>
      <c r="C75">
        <v>0</v>
      </c>
      <c r="D75">
        <v>0</v>
      </c>
      <c r="E75">
        <v>0</v>
      </c>
      <c r="F75">
        <v>0</v>
      </c>
      <c r="G75">
        <v>1</v>
      </c>
      <c r="H75">
        <f t="shared" si="6"/>
        <v>1</v>
      </c>
      <c r="I75">
        <f t="shared" si="7"/>
        <v>1000</v>
      </c>
      <c r="J75">
        <f t="shared" si="8"/>
        <v>3</v>
      </c>
      <c r="K75">
        <f t="shared" si="9"/>
        <v>0</v>
      </c>
      <c r="L75">
        <f t="shared" si="10"/>
        <v>0</v>
      </c>
      <c r="M75">
        <f t="shared" si="11"/>
        <v>0</v>
      </c>
      <c r="N75">
        <f t="shared" si="15"/>
        <v>0</v>
      </c>
      <c r="O75">
        <f t="shared" si="13"/>
        <v>0</v>
      </c>
      <c r="P75">
        <f t="shared" si="14"/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2025-03-20T01:06:11Z</dcterms:created>
  <dcterms:modified xsi:type="dcterms:W3CDTF">2025-03-20T03:18:21Z</dcterms:modified>
</cp:coreProperties>
</file>